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ck Robison\Documents\Business Documents\Portfolio Projects\InvoiceProject\"/>
    </mc:Choice>
  </mc:AlternateContent>
  <xr:revisionPtr revIDLastSave="0" documentId="13_ncr:1_{B8575CE3-9099-41CB-ABC0-A715025E013E}" xr6:coauthVersionLast="47" xr6:coauthVersionMax="47" xr10:uidLastSave="{00000000-0000-0000-0000-000000000000}"/>
  <bookViews>
    <workbookView xWindow="-120" yWindow="-120" windowWidth="29040" windowHeight="15840" activeTab="6" xr2:uid="{243FA4E6-63BF-419B-9202-47583CE9653B}"/>
  </bookViews>
  <sheets>
    <sheet name="Order" sheetId="2" r:id="rId1"/>
    <sheet name="Purchase Order Entry Window" sheetId="6" r:id="rId2"/>
    <sheet name="Invoice from PO Entry" sheetId="7" r:id="rId3"/>
    <sheet name="Invoice Template" sheetId="1" r:id="rId4"/>
    <sheet name="Customer Database" sheetId="4" r:id="rId5"/>
    <sheet name="Catalog" sheetId="3" r:id="rId6"/>
    <sheet name="Invoice Records" sheetId="9" r:id="rId7"/>
  </sheets>
  <definedNames>
    <definedName name="_xlnm.Print_Area" localSheetId="2">'Invoice from PO Entry'!$B$2:$J$50</definedName>
    <definedName name="_xlnm.Print_Area" localSheetId="3">'Invoice Template'!$B$2:$J$50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7" l="1"/>
  <c r="D6" i="7"/>
  <c r="F11" i="7"/>
  <c r="G49" i="7"/>
  <c r="G48" i="7"/>
  <c r="D50" i="7"/>
  <c r="D49" i="7"/>
  <c r="D48" i="7"/>
  <c r="D8" i="7"/>
  <c r="D7" i="7"/>
  <c r="D7" i="1"/>
  <c r="D8" i="1"/>
  <c r="D15" i="6"/>
  <c r="I13" i="7" s="1"/>
  <c r="E15" i="6"/>
  <c r="E11" i="6"/>
  <c r="G7" i="7" s="1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14" i="6"/>
  <c r="D20" i="6"/>
  <c r="I18" i="7" s="1"/>
  <c r="D16" i="6"/>
  <c r="F13" i="7" s="1"/>
  <c r="G13" i="7" s="1"/>
  <c r="D14" i="6"/>
  <c r="I12" i="7" s="1"/>
  <c r="D17" i="6"/>
  <c r="I15" i="7" s="1"/>
  <c r="D18" i="6"/>
  <c r="I16" i="7" s="1"/>
  <c r="D19" i="6"/>
  <c r="I17" i="7" s="1"/>
  <c r="D21" i="6"/>
  <c r="I19" i="7" s="1"/>
  <c r="D22" i="6"/>
  <c r="I20" i="7" s="1"/>
  <c r="D23" i="6"/>
  <c r="I21" i="7" s="1"/>
  <c r="D24" i="6"/>
  <c r="I22" i="7" s="1"/>
  <c r="D25" i="6"/>
  <c r="I23" i="7" s="1"/>
  <c r="D26" i="6"/>
  <c r="D23" i="7" s="1"/>
  <c r="D27" i="6"/>
  <c r="I25" i="7" s="1"/>
  <c r="D28" i="6"/>
  <c r="F25" i="7" s="1"/>
  <c r="G25" i="7" s="1"/>
  <c r="D29" i="6"/>
  <c r="I27" i="7" s="1"/>
  <c r="D30" i="6"/>
  <c r="I28" i="7" s="1"/>
  <c r="D31" i="6"/>
  <c r="I29" i="7" s="1"/>
  <c r="D32" i="6"/>
  <c r="I30" i="7" s="1"/>
  <c r="D33" i="6"/>
  <c r="I31" i="7" s="1"/>
  <c r="D34" i="6"/>
  <c r="I32" i="7" s="1"/>
  <c r="D35" i="6"/>
  <c r="I33" i="7" s="1"/>
  <c r="D36" i="6"/>
  <c r="I34" i="7" s="1"/>
  <c r="D37" i="6"/>
  <c r="I35" i="7" s="1"/>
  <c r="D38" i="6"/>
  <c r="I36" i="7" s="1"/>
  <c r="D39" i="6"/>
  <c r="I37" i="7" s="1"/>
  <c r="D40" i="6"/>
  <c r="F37" i="7" s="1"/>
  <c r="G37" i="7" s="1"/>
  <c r="D41" i="6"/>
  <c r="I39" i="7" s="1"/>
  <c r="D42" i="6"/>
  <c r="I40" i="7" s="1"/>
  <c r="D43" i="6"/>
  <c r="F40" i="7" s="1"/>
  <c r="H40" i="7" s="1"/>
  <c r="D11" i="1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14" i="6"/>
  <c r="F12" i="1"/>
  <c r="G12" i="1" s="1"/>
  <c r="F13" i="1"/>
  <c r="H13" i="1" s="1"/>
  <c r="F14" i="1"/>
  <c r="H14" i="1" s="1"/>
  <c r="F15" i="1"/>
  <c r="H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H39" i="1" s="1"/>
  <c r="F40" i="1"/>
  <c r="G40" i="1" s="1"/>
  <c r="F11" i="1"/>
  <c r="H11" i="1" s="1"/>
  <c r="D12" i="1"/>
  <c r="D13" i="1"/>
  <c r="D14" i="1"/>
  <c r="D15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16" i="1"/>
  <c r="D6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11" i="1"/>
  <c r="G49" i="1"/>
  <c r="G48" i="1"/>
  <c r="D50" i="1"/>
  <c r="D49" i="1"/>
  <c r="G7" i="1"/>
  <c r="I38" i="7" l="1"/>
  <c r="I26" i="7"/>
  <c r="I14" i="7"/>
  <c r="I24" i="7"/>
  <c r="H37" i="7"/>
  <c r="H25" i="7"/>
  <c r="H13" i="7"/>
  <c r="G40" i="7"/>
  <c r="F28" i="7"/>
  <c r="H28" i="7" s="1"/>
  <c r="F35" i="7"/>
  <c r="D17" i="7"/>
  <c r="F23" i="7"/>
  <c r="F27" i="7"/>
  <c r="D27" i="7"/>
  <c r="F15" i="7"/>
  <c r="D15" i="7"/>
  <c r="H11" i="7"/>
  <c r="D11" i="7"/>
  <c r="F39" i="7"/>
  <c r="H39" i="7" s="1"/>
  <c r="D39" i="7"/>
  <c r="F26" i="7"/>
  <c r="H26" i="7" s="1"/>
  <c r="D26" i="7"/>
  <c r="D36" i="7"/>
  <c r="F36" i="7"/>
  <c r="H36" i="7" s="1"/>
  <c r="D24" i="7"/>
  <c r="F24" i="7"/>
  <c r="H24" i="7" s="1"/>
  <c r="F14" i="7"/>
  <c r="D14" i="7"/>
  <c r="F38" i="7"/>
  <c r="H38" i="7" s="1"/>
  <c r="D38" i="7"/>
  <c r="D34" i="7"/>
  <c r="F34" i="7"/>
  <c r="D22" i="7"/>
  <c r="F22" i="7"/>
  <c r="D33" i="7"/>
  <c r="F33" i="7"/>
  <c r="D21" i="7"/>
  <c r="F21" i="7"/>
  <c r="D20" i="7"/>
  <c r="F20" i="7"/>
  <c r="H20" i="7" s="1"/>
  <c r="D32" i="7"/>
  <c r="F32" i="7"/>
  <c r="H32" i="7" s="1"/>
  <c r="D31" i="7"/>
  <c r="F31" i="7"/>
  <c r="H31" i="7" s="1"/>
  <c r="D19" i="7"/>
  <c r="F19" i="7"/>
  <c r="H19" i="7" s="1"/>
  <c r="F18" i="7"/>
  <c r="H18" i="7" s="1"/>
  <c r="D18" i="7"/>
  <c r="F30" i="7"/>
  <c r="H30" i="7" s="1"/>
  <c r="D30" i="7"/>
  <c r="F29" i="7"/>
  <c r="D29" i="7"/>
  <c r="F16" i="7"/>
  <c r="D16" i="7"/>
  <c r="D40" i="7"/>
  <c r="D28" i="7"/>
  <c r="D37" i="7"/>
  <c r="D25" i="7"/>
  <c r="D13" i="7"/>
  <c r="D35" i="7"/>
  <c r="F17" i="7"/>
  <c r="F12" i="7"/>
  <c r="D12" i="7"/>
  <c r="H38" i="1"/>
  <c r="H35" i="1"/>
  <c r="H28" i="1"/>
  <c r="H23" i="1"/>
  <c r="G11" i="1"/>
  <c r="H12" i="1"/>
  <c r="H34" i="1"/>
  <c r="H26" i="1"/>
  <c r="H25" i="1"/>
  <c r="H22" i="1"/>
  <c r="G15" i="1"/>
  <c r="G14" i="1"/>
  <c r="G13" i="1"/>
  <c r="H40" i="1"/>
  <c r="H27" i="1"/>
  <c r="H37" i="1"/>
  <c r="H36" i="1"/>
  <c r="H24" i="1"/>
  <c r="H33" i="1"/>
  <c r="H21" i="1"/>
  <c r="H32" i="1"/>
  <c r="H20" i="1"/>
  <c r="H31" i="1"/>
  <c r="H19" i="1"/>
  <c r="H30" i="1"/>
  <c r="H18" i="1"/>
  <c r="H29" i="1"/>
  <c r="H17" i="1"/>
  <c r="G39" i="1"/>
  <c r="H16" i="1"/>
  <c r="G16" i="7" l="1"/>
  <c r="H16" i="7"/>
  <c r="G33" i="7"/>
  <c r="H33" i="7"/>
  <c r="G14" i="7"/>
  <c r="H14" i="7"/>
  <c r="G17" i="7"/>
  <c r="H17" i="7"/>
  <c r="G29" i="7"/>
  <c r="H29" i="7"/>
  <c r="G35" i="7"/>
  <c r="H35" i="7"/>
  <c r="G27" i="7"/>
  <c r="H27" i="7"/>
  <c r="G12" i="7"/>
  <c r="H12" i="7"/>
  <c r="G34" i="7"/>
  <c r="H34" i="7"/>
  <c r="G15" i="7"/>
  <c r="H15" i="7"/>
  <c r="G23" i="7"/>
  <c r="H23" i="7"/>
  <c r="G22" i="7"/>
  <c r="H22" i="7"/>
  <c r="G21" i="7"/>
  <c r="H21" i="7"/>
  <c r="G26" i="7"/>
  <c r="G19" i="7"/>
  <c r="G38" i="7"/>
  <c r="G31" i="7"/>
  <c r="G18" i="7"/>
  <c r="G39" i="7"/>
  <c r="G24" i="7"/>
  <c r="G32" i="7"/>
  <c r="G28" i="7"/>
  <c r="G30" i="7"/>
  <c r="G20" i="7"/>
  <c r="G36" i="7"/>
  <c r="G11" i="7"/>
  <c r="H43" i="1"/>
  <c r="H44" i="1"/>
  <c r="H44" i="7" l="1"/>
  <c r="H43" i="7"/>
  <c r="H45" i="1"/>
  <c r="H45" i="7" l="1"/>
</calcChain>
</file>

<file path=xl/sharedStrings.xml><?xml version="1.0" encoding="utf-8"?>
<sst xmlns="http://schemas.openxmlformats.org/spreadsheetml/2006/main" count="504" uniqueCount="402">
  <si>
    <t>Robison Corp</t>
  </si>
  <si>
    <t>Invoice</t>
  </si>
  <si>
    <t>Invoice No.</t>
  </si>
  <si>
    <t>PO No.</t>
  </si>
  <si>
    <t>Date</t>
  </si>
  <si>
    <t>Due Date</t>
  </si>
  <si>
    <t>FROM:</t>
  </si>
  <si>
    <t>5678 North Way</t>
  </si>
  <si>
    <t>Phoenix, AZ 85048</t>
  </si>
  <si>
    <t>probison@robco.com</t>
  </si>
  <si>
    <t>BILL TO:</t>
  </si>
  <si>
    <t>Product</t>
  </si>
  <si>
    <t>Description</t>
  </si>
  <si>
    <t>Quantity</t>
  </si>
  <si>
    <t>Unit Price</t>
  </si>
  <si>
    <t>VAT</t>
  </si>
  <si>
    <t>Total (Tax exc.)</t>
  </si>
  <si>
    <t>Subtotal USD</t>
  </si>
  <si>
    <t>Tax</t>
  </si>
  <si>
    <t>Total USD</t>
  </si>
  <si>
    <t>Payment Information</t>
  </si>
  <si>
    <t>Customer Comments:</t>
  </si>
  <si>
    <t>Company Information</t>
  </si>
  <si>
    <t>Company ID</t>
  </si>
  <si>
    <t>Phone No.</t>
  </si>
  <si>
    <t>Email</t>
  </si>
  <si>
    <t>Notes</t>
  </si>
  <si>
    <t>Bank Name</t>
  </si>
  <si>
    <t>Account Number</t>
  </si>
  <si>
    <t>Need as soon as possible</t>
  </si>
  <si>
    <t>Product ID</t>
  </si>
  <si>
    <t>Order Date</t>
  </si>
  <si>
    <t>PO00034</t>
  </si>
  <si>
    <t>Order No.</t>
  </si>
  <si>
    <t>ORDER</t>
  </si>
  <si>
    <t>ID</t>
  </si>
  <si>
    <t>Product Name</t>
  </si>
  <si>
    <t>Product Description</t>
  </si>
  <si>
    <t>Product Price</t>
  </si>
  <si>
    <t>Spark Plugs</t>
  </si>
  <si>
    <t>Genuine OEM spark plugs designed to ignite the air-fuel mixture in your engine for optimal performance.</t>
  </si>
  <si>
    <t>Brake Pads</t>
  </si>
  <si>
    <t>High-quality ceramic brake pads engineered to provide reliable stopping power and minimize brake dust.</t>
  </si>
  <si>
    <t>Oil Filter</t>
  </si>
  <si>
    <t>Premium oil filter designed to trap harmful contaminants and keep your engine running smoothly.</t>
  </si>
  <si>
    <t>Air Filter</t>
  </si>
  <si>
    <t>High-flow air filter that improves airflow to your engine, enhancing horsepower and acceleration.</t>
  </si>
  <si>
    <t>Wiper Blades</t>
  </si>
  <si>
    <t>Durable wiper blades with a precision rubber wiping edge for streak-free visibility in rain and snow.</t>
  </si>
  <si>
    <t>Cabin Air Filter</t>
  </si>
  <si>
    <t>Cabin air filter that removes dust, pollen, and other allergens, ensuring clean air inside your vehicle.</t>
  </si>
  <si>
    <t>Engine Coolant</t>
  </si>
  <si>
    <t>Long-life engine coolant formulated to protect your engine from freezing, boiling, and corrosion.</t>
  </si>
  <si>
    <t>Serpentine Belt</t>
  </si>
  <si>
    <t>Heavy-duty serpentine belt made from durable materials for reliable power transmission in your vehicle.</t>
  </si>
  <si>
    <t>Fuel Filter</t>
  </si>
  <si>
    <t>High-efficiency fuel filter that removes impurities and contaminants, ensuring clean fuel reaches your engine.</t>
  </si>
  <si>
    <t>Oxygen Sensor</t>
  </si>
  <si>
    <t>Precision-engineered oxygen sensor that monitors oxygen levels in your exhaust system for optimal fuel efficiency.</t>
  </si>
  <si>
    <t>Radiator Hose</t>
  </si>
  <si>
    <t>Reinforced rubber radiator hose designed to withstand high temperatures and pressures in your vehicle's cooling system.</t>
  </si>
  <si>
    <t>Thermostat</t>
  </si>
  <si>
    <t>Thermostat that regulates engine temperature for efficient performance and prevents overheating.</t>
  </si>
  <si>
    <t>Ignition Coil</t>
  </si>
  <si>
    <t>Ignition coil that delivers high-voltage electricity to the spark plugs, ensuring reliable ignition and engine performance.</t>
  </si>
  <si>
    <t>Brake Rotors</t>
  </si>
  <si>
    <t>Premium brake rotors made from high-quality materials for consistent braking performance and reduced noise.</t>
  </si>
  <si>
    <t>Timing Belt</t>
  </si>
  <si>
    <t>Timing belt that synchronizes the rotation of the engine's camshaft and crankshaft, ensuring precise engine operation.</t>
  </si>
  <si>
    <t>Wheel Bearings</t>
  </si>
  <si>
    <t>Precision-engineered wheel bearings that reduce friction and support smooth wheel rotation for a comfortable ride.</t>
  </si>
  <si>
    <t>Tie Rod Ends</t>
  </si>
  <si>
    <t>Heavy-duty tie rod ends that connect the steering rack to the steering knuckle, ensuring responsive steering control.</t>
  </si>
  <si>
    <t>Ball Joints</t>
  </si>
  <si>
    <t>High-strength ball joints that connect the control arms to the steering knuckles, providing stable wheel alignment.</t>
  </si>
  <si>
    <t>Shock Absorbers</t>
  </si>
  <si>
    <t>Gas-charged shock absorbers that dampen vibrations and provide a smooth ride over bumps and rough terrain.</t>
  </si>
  <si>
    <t>Strut Assembly</t>
  </si>
  <si>
    <t>Complete strut assembly that combines the strut, coil spring, and mounting components for easy installation and enhanced performance.</t>
  </si>
  <si>
    <t>Transmission Fluid</t>
  </si>
  <si>
    <t>High-performance transmission fluid formulated to protect against wear, friction, and heat, ensuring smooth gear shifts.</t>
  </si>
  <si>
    <t>Brake Calipers</t>
  </si>
  <si>
    <t>Remanufactured brake calipers that provide reliable braking performance and extend the life of your brake system.</t>
  </si>
  <si>
    <t>Fuel Pump</t>
  </si>
  <si>
    <t>Electric fuel pump that delivers fuel from the tank to the engine, ensuring proper fuel pressure for optimal performance.</t>
  </si>
  <si>
    <t>Alternator</t>
  </si>
  <si>
    <t>Remanufactured alternator that generates electrical power for your vehicle's electrical system, ensuring proper battery charging.</t>
  </si>
  <si>
    <t>Starter Motor</t>
  </si>
  <si>
    <t>Remanufactured starter motor that initiates the engine's rotation, ensuring reliable engine starting in all conditions.</t>
  </si>
  <si>
    <t>Power Steering Pump</t>
  </si>
  <si>
    <t>Remanufactured power steering pump that provides hydraulic assistance to your vehicle's steering system, ensuring smooth steering operation.</t>
  </si>
  <si>
    <t>Radiator</t>
  </si>
  <si>
    <t>Replacement radiator that dissipates heat from the engine coolant, ensuring optimal engine temperature and performance.</t>
  </si>
  <si>
    <t>Heater Core</t>
  </si>
  <si>
    <t>Replacement heater core that transfers heat from the engine coolant to the cabin, ensuring efficient cabin heating.</t>
  </si>
  <si>
    <t>AC Compressor</t>
  </si>
  <si>
    <t>Remanufactured AC compressor that pressurizes refrigerant for efficient air conditioning performance in your vehicle.</t>
  </si>
  <si>
    <t>AC Condenser</t>
  </si>
  <si>
    <t>Replacement AC condenser that releases heat from the refrigerant, ensuring efficient cooling performance in your vehicle.</t>
  </si>
  <si>
    <t>Radiator Fan</t>
  </si>
  <si>
    <t>Replacement radiator fan that draws air through the radiator to dissipate heat, ensuring optimal engine cooling.</t>
  </si>
  <si>
    <t>Thermostat Housing</t>
  </si>
  <si>
    <t>Replacement thermostat housing that houses the thermostat and connects the radiator hoses, ensuring proper coolant flow.</t>
  </si>
  <si>
    <t>Intake Manifold</t>
  </si>
  <si>
    <t>Replacement intake manifold that distributes air evenly to the engine cylinders, ensuring efficient combustion.</t>
  </si>
  <si>
    <t>Exhaust Manifold</t>
  </si>
  <si>
    <t>Replacement exhaust manifold that channels exhaust gases away from the engine, ensuring proper engine performance.</t>
  </si>
  <si>
    <t>Muffler</t>
  </si>
  <si>
    <t>Replacement muffler that reduces exhaust noise and directs exhaust gases away from the vehicle, ensuring quiet operation.</t>
  </si>
  <si>
    <t>Catalytic Converter</t>
  </si>
  <si>
    <t>Replacement catalytic converter that reduces harmful emissions and converts pollutants into less harmful substances.</t>
  </si>
  <si>
    <t>PCV Valve</t>
  </si>
  <si>
    <t>Replacement PCV valve that regulates the flow of crankcase vapors, ensuring proper engine ventilation and performance.</t>
  </si>
  <si>
    <t>EGR Valve</t>
  </si>
  <si>
    <t>Replacement EGR valve that recirculates exhaust gas to reduce emissions and improve fuel efficiency in your vehicle.</t>
  </si>
  <si>
    <t>Camshaft Position Sensor</t>
  </si>
  <si>
    <t>Precision-engineered camshaft position sensor that detects the position of the camshaft for optimal engine performance.</t>
  </si>
  <si>
    <t>Crankshaft Position Sensor</t>
  </si>
  <si>
    <t>Precision-engineered crankshaft position sensor that detects the position of the crankshaft for optimal engine performance.</t>
  </si>
  <si>
    <t>Knock Sensor</t>
  </si>
  <si>
    <t>Precision-engineered knock sensor that detects engine knocking caused by fuel detonation, ensuring smooth engine operation.</t>
  </si>
  <si>
    <t>MAP Sensor</t>
  </si>
  <si>
    <t>Precision-engineered MAP sensor that measures manifold absolute pressure for accurate engine fuel delivery and ignition timing.</t>
  </si>
  <si>
    <t>Throttle Position Sensor</t>
  </si>
  <si>
    <t>Precision-engineered throttle position sensor that detects the position of the throttle plate for precise engine control.</t>
  </si>
  <si>
    <t>ABS Sensor</t>
  </si>
  <si>
    <t>Precision-engineered ABS sensor that monitors wheel speed for optimal operation of the anti-lock braking system.</t>
  </si>
  <si>
    <t>Wheel Speed Sensor</t>
  </si>
  <si>
    <t>Precision-engineered wheel speed sensor that monitors the rotational speed of the wheels for optimal operation of the vehicle's systems.</t>
  </si>
  <si>
    <t>Fuel Injector</t>
  </si>
  <si>
    <t>Precision-engineered fuel injector that delivers fuel into the engine cylinders for optimal combustion and engine performance.</t>
  </si>
  <si>
    <t>Turbocharger</t>
  </si>
  <si>
    <t>Replacement turbocharger that increases engine power and efficiency by compressing air for improved combustion.</t>
  </si>
  <si>
    <t>Supercharger</t>
  </si>
  <si>
    <t>Replacement supercharger that increases engine power and efficiency by compressing air for improved combustion.</t>
  </si>
  <si>
    <t>Fuel Pressure Regulator</t>
  </si>
  <si>
    <t>Precision-engineered fuel pressure regulator that maintains consistent fuel pressure for optimal engine performance.</t>
  </si>
  <si>
    <t>Fuel Pump Relay</t>
  </si>
  <si>
    <t>Replacement fuel pump relay that controls the operation of the fuel pump, ensuring proper fuel delivery to the engine.</t>
  </si>
  <si>
    <t>Ignition Switch</t>
  </si>
  <si>
    <t>Replacement ignition switch that activates the starter motor and ignition system, allowing your vehicle to start.</t>
  </si>
  <si>
    <t>Ignition Lock Cylinder</t>
  </si>
  <si>
    <t>Replacement ignition lock cylinder that accepts the ignition key and allows it to turn, starting the vehicle.</t>
  </si>
  <si>
    <t>Fuel Cap</t>
  </si>
  <si>
    <t>Replacement fuel cap that seals the fuel tank to prevent fuel evaporation and maintain proper fuel system pressure.</t>
  </si>
  <si>
    <t>Oil Cap</t>
  </si>
  <si>
    <t>Replacement oil cap that seals the oil reservoir to prevent oil leaks and contamination of the engine oil.</t>
  </si>
  <si>
    <t>Transmission Filter</t>
  </si>
  <si>
    <t>Replacement transmission filter that removes contaminants from the transmission fluid, ensuring smooth gear shifts.</t>
  </si>
  <si>
    <t>Transmission Solenoid</t>
  </si>
  <si>
    <t>Replacement transmission solenoid that controls the flow of transmission fluid, ensuring proper gear engagement.</t>
  </si>
  <si>
    <t>Transmission Valve Body</t>
  </si>
  <si>
    <t>Replacement transmission valve body that directs the flow of transmission fluid, ensuring smooth gear shifts.</t>
  </si>
  <si>
    <t>Transmission Pan</t>
  </si>
  <si>
    <t>Replacement transmission pan that houses the transmission fluid and filter, ensuring proper fluid circulation.</t>
  </si>
  <si>
    <t>Transmission Mount</t>
  </si>
  <si>
    <t>Replacement transmission mount that supports the transmission and reduces vibration and noise in the vehicle.</t>
  </si>
  <si>
    <t>Drive Belt</t>
  </si>
  <si>
    <t>Replacement drive belt that drives various engine accessories, such as the alternator, power steering pump, and water pump.</t>
  </si>
  <si>
    <t>Idler Pulley</t>
  </si>
  <si>
    <t>Replacement idler pulley that maintains tension on the drive belt, ensuring proper operation of engine accessories.</t>
  </si>
  <si>
    <t>Tensioner Pulley</t>
  </si>
  <si>
    <t>Replacement tensioner pulley that adjusts the tension of the drive belt, ensuring proper operation of engine accessories.</t>
  </si>
  <si>
    <t>Engine Mount</t>
  </si>
  <si>
    <t>Replacement engine mount that supports the engine and reduces vibration and noise in the vehicle.</t>
  </si>
  <si>
    <t>Motor Mount</t>
  </si>
  <si>
    <t>Replacement motor mount that supports the engine and transmission, reducing vibration and noise in the vehicle.</t>
  </si>
  <si>
    <t>Exhaust Gasket</t>
  </si>
  <si>
    <t>Replacement exhaust gasket that seals the connection between exhaust components, preventing exhaust leaks.</t>
  </si>
  <si>
    <t>Intake Gasket</t>
  </si>
  <si>
    <t>Replacement intake gasket that seals the connection between intake components, preventing air leaks and vacuum loss.</t>
  </si>
  <si>
    <t>Head Gasket</t>
  </si>
  <si>
    <t>Replacement head gasket that seals the cylinder head to the engine block, preventing coolant and oil leaks.</t>
  </si>
  <si>
    <t>Valve Cover Gasket</t>
  </si>
  <si>
    <t>Replacement valve cover gasket that seals the valve cover to the cylinder head, preventing oil leaks.</t>
  </si>
  <si>
    <t>Oil Pan Gasket</t>
  </si>
  <si>
    <t>Replacement oil pan gasket that seals the oil pan to the engine block, preventing oil leaks.</t>
  </si>
  <si>
    <t>Timing Cover Gasket</t>
  </si>
  <si>
    <t>Replacement timing cover gasket that seals the timing cover to the engine block, preventing oil leaks.</t>
  </si>
  <si>
    <t>Water Pump Gasket</t>
  </si>
  <si>
    <t>Replacement water pump gasket that seals the water pump to the engine block, preventing coolant leaks.</t>
  </si>
  <si>
    <t>Thermostat Gasket</t>
  </si>
  <si>
    <t>Replacement thermostat gasket that seals the thermostat housing to the engine block, preventing coolant leaks.</t>
  </si>
  <si>
    <t>Exhaust Clamp</t>
  </si>
  <si>
    <t>Replacement exhaust clamp that secures exhaust components together, preventing exhaust leaks.</t>
  </si>
  <si>
    <t>Exhaust Hanger</t>
  </si>
  <si>
    <t>Replacement exhaust hanger that supports the exhaust system and reduces vibration and noise.</t>
  </si>
  <si>
    <t>Radiator Cap</t>
  </si>
  <si>
    <t>Replacement radiator cap that maintains pressure in the cooling system, preventing coolant leaks and overheating.</t>
  </si>
  <si>
    <t>Heater Hose</t>
  </si>
  <si>
    <t>Replacement heater hose that carries coolant from the engine to the heater core, ensuring proper cabin heating.</t>
  </si>
  <si>
    <t>PCV Hose</t>
  </si>
  <si>
    <t>Replacement PCV hose that carries crankcase vapors to the intake manifold, ensuring proper engine ventilation.</t>
  </si>
  <si>
    <t>Vacuum Hose</t>
  </si>
  <si>
    <t>Replacement vacuum hose that carries vacuum to various engine components, ensuring proper operation of systems.</t>
  </si>
  <si>
    <t>Brake Fluid</t>
  </si>
  <si>
    <t>High-performance brake fluid formulated to withstand high temperatures and provide reliable braking performance.</t>
  </si>
  <si>
    <t>Power Steering Fluid</t>
  </si>
  <si>
    <t>Premium power steering fluid formulated to provide smooth and quiet operation of the power steering system.</t>
  </si>
  <si>
    <t>Coolant Hose</t>
  </si>
  <si>
    <t>Replacement coolant hose that carries coolant from the radiator to the engine, ensuring proper engine cooling.</t>
  </si>
  <si>
    <t>Differential Fluid</t>
  </si>
  <si>
    <t>Heavy-duty differential fluid formulated to withstand extreme pressures and temperatures, ensuring smooth operation.</t>
  </si>
  <si>
    <t>Transfer Case Fluid</t>
  </si>
  <si>
    <t>High-quality transfer case fluid formulated to protect against wear and corrosion, ensuring smooth transfer case operation.</t>
  </si>
  <si>
    <t>Wheel Bearing Grease</t>
  </si>
  <si>
    <t>High-temperature wheel bearing grease that lubricates wheel bearings and reduces friction and wear.</t>
  </si>
  <si>
    <t>Silicone Sealant</t>
  </si>
  <si>
    <t>High-temperature silicone sealant that seals and bonds a variety of surfaces, ensuring leak-free seals.</t>
  </si>
  <si>
    <t>Threadlocker</t>
  </si>
  <si>
    <t>Medium-strength threadlocker that prevents bolts and screws from loosening due to vibration, ensuring secure fastening.</t>
  </si>
  <si>
    <t>Brake Cleaner</t>
  </si>
  <si>
    <t>High-performance brake cleaner that removes brake dust, grease, and contaminants from brake components.</t>
  </si>
  <si>
    <t>Engine Degreaser</t>
  </si>
  <si>
    <t>Heavy-duty engine degreaser that removes grease, oil, and grime from engine components, leaving them clean and shiny.</t>
  </si>
  <si>
    <t>Carburetor Cleaner</t>
  </si>
  <si>
    <t>High-quality carburetor cleaner that removes varnish, gum, and carbon deposits from carburetors and throttle bodies.</t>
  </si>
  <si>
    <t>Fuel System Cleaner</t>
  </si>
  <si>
    <t>Premium fuel system cleaner that cleans fuel injectors, intake valves, and combustion chambers, restoring engine performance.</t>
  </si>
  <si>
    <t>Fuel Stabilizer</t>
  </si>
  <si>
    <t>Ethanol-free fuel stabilizer that prevents fuel degradation and corrosion during storage, ensuring easy engine starting.</t>
  </si>
  <si>
    <t>Engine Oil</t>
  </si>
  <si>
    <t>High-quality engine oil that lubricates engine components, reduces friction and wear, and provides thermal stability.</t>
  </si>
  <si>
    <t>Synthetic Oil</t>
  </si>
  <si>
    <t>Full-synthetic engine oil that offers superior protection against heat, wear, and deposits, ensuring long engine life.</t>
  </si>
  <si>
    <t>High Mileage Oil</t>
  </si>
  <si>
    <t>High-mileage engine oil specially formulated for engines with over 75,000 miles, reducing oil consumption and leakage.</t>
  </si>
  <si>
    <t>Diesel Engine Oil</t>
  </si>
  <si>
    <t>Heavy-duty diesel engine oil that provides exceptional protection against wear, deposits, and oxidation.</t>
  </si>
  <si>
    <t>Racing Oil</t>
  </si>
  <si>
    <t>High-performance racing engine oil that maximizes horsepower and engine protection under extreme racing conditions.</t>
  </si>
  <si>
    <t>Brake Fluid Tester</t>
  </si>
  <si>
    <t>Digital brake fluid tester that measures the moisture content in brake fluid, ensuring safe and reliable braking.</t>
  </si>
  <si>
    <t>Battery Charger</t>
  </si>
  <si>
    <t>Automatic battery charger that charges and maintains 12-volt batteries, ensuring peak battery performance and longevity.</t>
  </si>
  <si>
    <t>Battery Tester</t>
  </si>
  <si>
    <t>Digital battery tester that analyzes battery condition and cranking voltage, ensuring accurate battery diagnostics.</t>
  </si>
  <si>
    <t>Company Name</t>
  </si>
  <si>
    <t>Address 1</t>
  </si>
  <si>
    <t>Address 2</t>
  </si>
  <si>
    <t>Contact Email</t>
  </si>
  <si>
    <t>Telephone</t>
  </si>
  <si>
    <t>Bank</t>
  </si>
  <si>
    <t>XYZ Corporation</t>
  </si>
  <si>
    <t>20000 Northwood St</t>
  </si>
  <si>
    <t>john.smith@xyzcorp.com</t>
  </si>
  <si>
    <t>(123) 456-7890</t>
  </si>
  <si>
    <t>Chase Bank</t>
  </si>
  <si>
    <t>ABC Industries</t>
  </si>
  <si>
    <t>300 Oak Avenue</t>
  </si>
  <si>
    <t>Springfield, IL 62701</t>
  </si>
  <si>
    <t>sarah.doe@abc.com</t>
  </si>
  <si>
    <t>(234) 567-8901</t>
  </si>
  <si>
    <t>Bank of America</t>
  </si>
  <si>
    <t>Acme Co</t>
  </si>
  <si>
    <t>400 Maple Street</t>
  </si>
  <si>
    <t>Smalltown, NY 12345</t>
  </si>
  <si>
    <t>mike.jones@acme.com</t>
  </si>
  <si>
    <t>(345) 678-9012</t>
  </si>
  <si>
    <t>Wells Fargo</t>
  </si>
  <si>
    <t>Summit Enterprises</t>
  </si>
  <si>
    <t>500 Cedar Road</t>
  </si>
  <si>
    <t>Suburbia, TX 76543</t>
  </si>
  <si>
    <t>emily.smith@summit.com</t>
  </si>
  <si>
    <t>(456) 789-0123</t>
  </si>
  <si>
    <t>Citibank</t>
  </si>
  <si>
    <t>Pacific Logistics</t>
  </si>
  <si>
    <t>600 Elm Lane</t>
  </si>
  <si>
    <t>Downtown, FL 32123</t>
  </si>
  <si>
    <t>david.brown@paclog.com</t>
  </si>
  <si>
    <t>(567) 890-1234</t>
  </si>
  <si>
    <t>U.S. Bank</t>
  </si>
  <si>
    <t>Cascade Solutions</t>
  </si>
  <si>
    <t>700 Pine Drive</t>
  </si>
  <si>
    <t>Metropolis, GA 45678</t>
  </si>
  <si>
    <t>jessica.white@cascade.com</t>
  </si>
  <si>
    <t>(678) 901-2345</t>
  </si>
  <si>
    <t>PNC Bank</t>
  </si>
  <si>
    <t>Golden Gate Group</t>
  </si>
  <si>
    <t>800 Sycamore Blvd</t>
  </si>
  <si>
    <t>Cityville, WA 98765</t>
  </si>
  <si>
    <t>andrew.johnson@goldengate.com</t>
  </si>
  <si>
    <t>(789) 012-3456</t>
  </si>
  <si>
    <t>TD Bank</t>
  </si>
  <si>
    <t>Sunburst Services</t>
  </si>
  <si>
    <t>900 Cedar Avenue</t>
  </si>
  <si>
    <t>Countryside, OH 54321</t>
  </si>
  <si>
    <t>lisa.johnson@sunburst.com</t>
  </si>
  <si>
    <t>(890) 123-4567</t>
  </si>
  <si>
    <t>Capital One</t>
  </si>
  <si>
    <t>Bright Ideas Inc.</t>
  </si>
  <si>
    <t>1000 Birch Street</t>
  </si>
  <si>
    <t>Midtown, NC 23456</t>
  </si>
  <si>
    <t>mark.wilson@brightideas.com</t>
  </si>
  <si>
    <t>(901) 234-5678</t>
  </si>
  <si>
    <t>HSBC</t>
  </si>
  <si>
    <t>Silver Star Corp</t>
  </si>
  <si>
    <t>1100 Willow Road</t>
  </si>
  <si>
    <t>Riverside, CA 67890</t>
  </si>
  <si>
    <t>ashley.miller@silverstar.com</t>
  </si>
  <si>
    <t>(012) 345-6789</t>
  </si>
  <si>
    <t>Barclays</t>
  </si>
  <si>
    <t>Swift Solutions</t>
  </si>
  <si>
    <t>1200 Pine Lane</t>
  </si>
  <si>
    <t>Uptown, TX 23456</t>
  </si>
  <si>
    <t>brian.james@swift.com</t>
  </si>
  <si>
    <t>Goldman Sachs</t>
  </si>
  <si>
    <t>Evergreen Enterprises</t>
  </si>
  <si>
    <t>1300 Cedar Street</t>
  </si>
  <si>
    <t>Lakeside, CO 34567</t>
  </si>
  <si>
    <t>amy.jones@evergreen.com</t>
  </si>
  <si>
    <t>Morgan Stanley</t>
  </si>
  <si>
    <t>Mountain View Ltd.</t>
  </si>
  <si>
    <t>1400 Elm Avenue</t>
  </si>
  <si>
    <t>Hillside, CA 91006</t>
  </si>
  <si>
    <t xml:space="preserve">info@mountainview.com </t>
  </si>
  <si>
    <t>JPMorgan Chase</t>
  </si>
  <si>
    <t>Oliver Industries</t>
  </si>
  <si>
    <t>1500 Oak Street</t>
  </si>
  <si>
    <t>Parkville, MD 21234</t>
  </si>
  <si>
    <t>jsteel@oliveri.com</t>
  </si>
  <si>
    <t>Alpha Associates</t>
  </si>
  <si>
    <t>1600 Maple Avenue</t>
  </si>
  <si>
    <t>Lakeside, MT 59868</t>
  </si>
  <si>
    <t>contact@alphaassociates.com</t>
  </si>
  <si>
    <t>Omega Solutions</t>
  </si>
  <si>
    <t>1700 Birch Road</t>
  </si>
  <si>
    <t>Uptown, CO 80202</t>
  </si>
  <si>
    <t>jjacobs@omegasolutions.com</t>
  </si>
  <si>
    <t>Zenith Enterprises</t>
  </si>
  <si>
    <t>1800 Cedar Lane</t>
  </si>
  <si>
    <t>Cityville, NV 89501</t>
  </si>
  <si>
    <t>gary.king@zenithenterprises.com</t>
  </si>
  <si>
    <t>Starlight Systems</t>
  </si>
  <si>
    <t>1900 Pine Drive</t>
  </si>
  <si>
    <t>Metropolis, IL 62960</t>
  </si>
  <si>
    <t>jordanu@starlightsystems.com</t>
  </si>
  <si>
    <t>Elite Solutions</t>
  </si>
  <si>
    <t>2000 Sycamore Blvd</t>
  </si>
  <si>
    <t>Downtown, TX 77002</t>
  </si>
  <si>
    <t>sholmes@elitesolutions.com</t>
  </si>
  <si>
    <t>Global Group</t>
  </si>
  <si>
    <t>2100 Cedar Avenue</t>
  </si>
  <si>
    <t>Countryside, CA 90210</t>
  </si>
  <si>
    <t xml:space="preserve">fhorrigan@globalgroup.com </t>
  </si>
  <si>
    <t>Fusion Corporation</t>
  </si>
  <si>
    <t>2200 Birch Street</t>
  </si>
  <si>
    <t>Springfield, IL 62702</t>
  </si>
  <si>
    <t>ceastwood@fusioncorp.com</t>
  </si>
  <si>
    <t>Liberty Ltd.</t>
  </si>
  <si>
    <t>2300 Elm Lane</t>
  </si>
  <si>
    <t>calvin.morriganson@libertyltd.com</t>
  </si>
  <si>
    <t>Phoenix Partners</t>
  </si>
  <si>
    <t>2400 Willow Road</t>
  </si>
  <si>
    <t>Uptown, AZ 85001</t>
  </si>
  <si>
    <t>kyle.steward@phoenixpartners.com</t>
  </si>
  <si>
    <t>Diamond Dynamics</t>
  </si>
  <si>
    <t>2500 Pine Lane</t>
  </si>
  <si>
    <t>abigail.lockwood@diamonddynamics.com</t>
  </si>
  <si>
    <t>Infinity Inc.</t>
  </si>
  <si>
    <t>2600 Cedar Road</t>
  </si>
  <si>
    <t>Cityville, NV 89502</t>
  </si>
  <si>
    <t>lyjung@infinityinc.com</t>
  </si>
  <si>
    <t>Nova Solutions</t>
  </si>
  <si>
    <t>2700 Sycamore Blvd</t>
  </si>
  <si>
    <t>Metropolis, IL 62961</t>
  </si>
  <si>
    <t>sean.hanes@novasolutions.com</t>
  </si>
  <si>
    <t>Sunflower Systems</t>
  </si>
  <si>
    <t>2800 Cedar Avenue</t>
  </si>
  <si>
    <t>Countryside, CA 90211</t>
  </si>
  <si>
    <t>vincent.richardson@sunflowersystems.com</t>
  </si>
  <si>
    <t>Platinum Partners</t>
  </si>
  <si>
    <t>2900 Elm Lane</t>
  </si>
  <si>
    <t>Downtown, TX 77003</t>
  </si>
  <si>
    <t>bethany.bell@platinumpartners.com</t>
  </si>
  <si>
    <t>Quantum Quotient</t>
  </si>
  <si>
    <t>3000 Pine Drive</t>
  </si>
  <si>
    <t>Springfield, IL 62703</t>
  </si>
  <si>
    <t>insert.name@quantumquotient.com</t>
  </si>
  <si>
    <t>Need as soon as possible.</t>
  </si>
  <si>
    <t>LineTool</t>
  </si>
  <si>
    <t>Company</t>
  </si>
  <si>
    <t>Date Issued</t>
  </si>
  <si>
    <t>Date Due</t>
  </si>
  <si>
    <t>Paid</t>
  </si>
  <si>
    <t>Purchase Order Entry Window</t>
  </si>
  <si>
    <t>Price</t>
  </si>
  <si>
    <t>Customer</t>
  </si>
  <si>
    <t>PO No</t>
  </si>
  <si>
    <t>X</t>
  </si>
  <si>
    <t xml:space="preserve">Comments  </t>
  </si>
  <si>
    <t>Amount</t>
  </si>
  <si>
    <t>Invoice No</t>
  </si>
  <si>
    <t>Excel File</t>
  </si>
  <si>
    <t>PDF File</t>
  </si>
  <si>
    <t>patrickrobison17@gmail.com</t>
  </si>
  <si>
    <t>PO00001</t>
  </si>
  <si>
    <t>Test</t>
  </si>
  <si>
    <t>PO00002</t>
  </si>
  <si>
    <t>Processed</t>
  </si>
  <si>
    <t>C:\Users\Patrick Robison\Documents\Business Documents\Invoices\3-ABC Industries.xlsx</t>
  </si>
  <si>
    <t>C:\Users\Patrick Robison\Documents\Business Documents\Invoices\3-ABC Industries.pdf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</si>
</sst>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 tint="0.249977111117893"/>
      <name val="Calibri"/>
      <family val="2"/>
      <scheme val="minor"/>
    </font>
    <font>
      <b/>
      <i/>
      <sz val="24"/>
      <color theme="1" tint="0.249977111117893"/>
      <name val="Cooper Std Black"/>
      <family val="1"/>
    </font>
    <font>
      <b/>
      <i/>
      <sz val="24"/>
      <color theme="1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thick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auto="1"/>
      </right>
      <top style="thin">
        <color theme="4" tint="0.3999755851924192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1" xfId="0" applyBorder="1"/>
    <xf numFmtId="0" fontId="0" fillId="0" borderId="4" xfId="0" applyBorder="1"/>
    <xf numFmtId="0" fontId="3" fillId="0" borderId="5" xfId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7" xfId="0" applyBorder="1"/>
    <xf numFmtId="0" fontId="0" fillId="0" borderId="9" xfId="0" applyBorder="1"/>
    <xf numFmtId="14" fontId="0" fillId="0" borderId="9" xfId="0" applyNumberFormat="1" applyBorder="1"/>
    <xf numFmtId="0" fontId="0" fillId="0" borderId="11" xfId="0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10" xfId="0" applyFont="1" applyFill="1" applyBorder="1"/>
    <xf numFmtId="0" fontId="1" fillId="2" borderId="12" xfId="0" applyFont="1" applyFill="1" applyBorder="1"/>
    <xf numFmtId="0" fontId="0" fillId="0" borderId="1" xfId="0" applyBorder="1" applyAlignment="1">
      <alignment wrapText="1"/>
    </xf>
    <xf numFmtId="164" fontId="0" fillId="0" borderId="1" xfId="0" applyNumberFormat="1" applyBorder="1"/>
    <xf numFmtId="0" fontId="0" fillId="0" borderId="14" xfId="0" applyBorder="1"/>
    <xf numFmtId="0" fontId="0" fillId="0" borderId="15" xfId="0" applyBorder="1"/>
    <xf numFmtId="0" fontId="0" fillId="0" borderId="13" xfId="0" applyBorder="1"/>
    <xf numFmtId="0" fontId="0" fillId="0" borderId="16" xfId="0" applyBorder="1"/>
    <xf numFmtId="0" fontId="2" fillId="3" borderId="19" xfId="0" applyFont="1" applyFill="1" applyBorder="1"/>
    <xf numFmtId="0" fontId="1" fillId="2" borderId="23" xfId="0" applyFont="1" applyFill="1" applyBorder="1" applyAlignment="1">
      <alignment horizontal="center"/>
    </xf>
    <xf numFmtId="164" fontId="0" fillId="0" borderId="0" xfId="0" applyNumberFormat="1"/>
    <xf numFmtId="164" fontId="0" fillId="3" borderId="19" xfId="0" applyNumberFormat="1" applyFill="1" applyBorder="1"/>
    <xf numFmtId="0" fontId="1" fillId="2" borderId="25" xfId="0" applyFont="1" applyFill="1" applyBorder="1"/>
    <xf numFmtId="164" fontId="0" fillId="0" borderId="9" xfId="0" applyNumberFormat="1" applyBorder="1"/>
    <xf numFmtId="0" fontId="0" fillId="2" borderId="24" xfId="0" applyFill="1" applyBorder="1"/>
    <xf numFmtId="0" fontId="0" fillId="0" borderId="18" xfId="0" applyBorder="1"/>
    <xf numFmtId="14" fontId="0" fillId="0" borderId="11" xfId="0" applyNumberFormat="1" applyBorder="1"/>
    <xf numFmtId="0" fontId="0" fillId="4" borderId="20" xfId="0" applyFill="1" applyBorder="1" applyAlignment="1">
      <alignment horizontal="left" vertical="top"/>
    </xf>
    <xf numFmtId="0" fontId="0" fillId="4" borderId="17" xfId="0" applyFill="1" applyBorder="1" applyAlignment="1">
      <alignment horizontal="left" vertical="top"/>
    </xf>
    <xf numFmtId="0" fontId="0" fillId="4" borderId="21" xfId="0" applyFill="1" applyBorder="1" applyAlignment="1">
      <alignment horizontal="left" vertical="top"/>
    </xf>
    <xf numFmtId="0" fontId="0" fillId="4" borderId="15" xfId="0" applyFill="1" applyBorder="1" applyAlignment="1">
      <alignment horizontal="left" vertical="top"/>
    </xf>
    <xf numFmtId="0" fontId="0" fillId="4" borderId="22" xfId="0" applyFill="1" applyBorder="1" applyAlignment="1">
      <alignment horizontal="left" vertical="top"/>
    </xf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0" borderId="10" xfId="0" applyBorder="1"/>
    <xf numFmtId="0" fontId="0" fillId="0" borderId="8" xfId="0" applyBorder="1"/>
    <xf numFmtId="0" fontId="0" fillId="0" borderId="6" xfId="0" applyBorder="1"/>
    <xf numFmtId="14" fontId="0" fillId="0" borderId="0" xfId="0" applyNumberFormat="1"/>
    <xf numFmtId="0" fontId="3" fillId="0" borderId="0" xfId="1"/>
    <xf numFmtId="1" fontId="0" fillId="0" borderId="0" xfId="0" applyNumberFormat="1"/>
    <xf numFmtId="14" fontId="0" fillId="0" borderId="27" xfId="0" applyNumberFormat="1" applyBorder="1"/>
    <xf numFmtId="0" fontId="0" fillId="0" borderId="28" xfId="0" applyBorder="1"/>
    <xf numFmtId="0" fontId="0" fillId="0" borderId="29" xfId="0" applyBorder="1"/>
    <xf numFmtId="0" fontId="3" fillId="0" borderId="30" xfId="1" applyBorder="1"/>
    <xf numFmtId="0" fontId="0" fillId="0" borderId="13" xfId="0" applyBorder="1" applyAlignment="1">
      <alignment horizontal="left"/>
    </xf>
    <xf numFmtId="2" fontId="0" fillId="0" borderId="1" xfId="0" applyNumberFormat="1" applyBorder="1"/>
    <xf numFmtId="0" fontId="0" fillId="0" borderId="21" xfId="0" applyBorder="1"/>
    <xf numFmtId="0" fontId="2" fillId="0" borderId="0" xfId="0" applyFont="1"/>
    <xf numFmtId="0" fontId="0" fillId="0" borderId="32" xfId="0" applyBorder="1"/>
    <xf numFmtId="0" fontId="1" fillId="2" borderId="21" xfId="0" applyFont="1" applyFill="1" applyBorder="1"/>
    <xf numFmtId="0" fontId="1" fillId="2" borderId="0" xfId="0" applyFont="1" applyFill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0" borderId="22" xfId="0" applyBorder="1"/>
    <xf numFmtId="0" fontId="6" fillId="0" borderId="19" xfId="0" applyFont="1" applyBorder="1" applyAlignment="1">
      <alignment vertical="center"/>
    </xf>
    <xf numFmtId="0" fontId="4" fillId="0" borderId="19" xfId="0" applyFont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1" fillId="2" borderId="33" xfId="0" applyFont="1" applyFill="1" applyBorder="1"/>
    <xf numFmtId="0" fontId="0" fillId="0" borderId="18" xfId="0" applyBorder="1" applyAlignment="1">
      <alignment wrapText="1"/>
    </xf>
    <xf numFmtId="0" fontId="0" fillId="0" borderId="17" xfId="0" applyBorder="1" applyAlignment="1">
      <alignment wrapText="1"/>
    </xf>
    <xf numFmtId="2" fontId="0" fillId="0" borderId="26" xfId="0" applyNumberFormat="1" applyBorder="1"/>
    <xf numFmtId="0" fontId="0" fillId="0" borderId="23" xfId="0" applyBorder="1"/>
    <xf numFmtId="0" fontId="0" fillId="0" borderId="19" xfId="0" applyBorder="1"/>
    <xf numFmtId="0" fontId="0" fillId="0" borderId="20" xfId="0" applyBorder="1"/>
    <xf numFmtId="0" fontId="0" fillId="0" borderId="34" xfId="0" applyBorder="1" applyAlignment="1">
      <alignment wrapText="1"/>
    </xf>
    <xf numFmtId="164" fontId="0" fillId="0" borderId="34" xfId="0" applyNumberFormat="1" applyBorder="1" applyAlignment="1">
      <alignment wrapText="1"/>
    </xf>
    <xf numFmtId="0" fontId="0" fillId="0" borderId="31" xfId="0" applyBorder="1"/>
    <xf numFmtId="0" fontId="0" fillId="5" borderId="20" xfId="0" applyFill="1" applyBorder="1"/>
    <xf numFmtId="0" fontId="0" fillId="5" borderId="34" xfId="0" applyFill="1" applyBorder="1"/>
    <xf numFmtId="0" fontId="0" fillId="5" borderId="17" xfId="0" applyFill="1" applyBorder="1"/>
    <xf numFmtId="0" fontId="0" fillId="5" borderId="21" xfId="0" applyFill="1" applyBorder="1"/>
    <xf numFmtId="0" fontId="0" fillId="5" borderId="0" xfId="0" applyFill="1"/>
    <xf numFmtId="0" fontId="0" fillId="5" borderId="15" xfId="0" applyFill="1" applyBorder="1"/>
    <xf numFmtId="0" fontId="0" fillId="5" borderId="22" xfId="0" applyFill="1" applyBorder="1"/>
    <xf numFmtId="0" fontId="0" fillId="5" borderId="13" xfId="0" applyFill="1" applyBorder="1"/>
    <xf numFmtId="0" fontId="0" fillId="5" borderId="16" xfId="0" applyFill="1" applyBorder="1"/>
    <xf numFmtId="0" fontId="0" fillId="6" borderId="21" xfId="0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6" borderId="0" xfId="0" applyFill="1"/>
    <xf numFmtId="0" fontId="0" fillId="6" borderId="15" xfId="0" applyFill="1" applyBorder="1"/>
    <xf numFmtId="0" fontId="0" fillId="6" borderId="16" xfId="0" applyFill="1" applyBorder="1" applyAlignment="1">
      <alignment horizontal="left"/>
    </xf>
    <xf numFmtId="0" fontId="0" fillId="6" borderId="21" xfId="0" applyFill="1" applyBorder="1"/>
    <xf numFmtId="0" fontId="0" fillId="6" borderId="18" xfId="0" applyFill="1" applyBorder="1"/>
    <xf numFmtId="0" fontId="0" fillId="6" borderId="17" xfId="0" applyFill="1" applyBorder="1"/>
    <xf numFmtId="0" fontId="0" fillId="6" borderId="34" xfId="0" applyFill="1" applyBorder="1"/>
    <xf numFmtId="0" fontId="0" fillId="6" borderId="13" xfId="0" applyFill="1" applyBorder="1"/>
    <xf numFmtId="0" fontId="0" fillId="6" borderId="35" xfId="0" applyFill="1" applyBorder="1"/>
    <xf numFmtId="164" fontId="0" fillId="6" borderId="34" xfId="0" applyNumberFormat="1" applyFill="1" applyBorder="1"/>
    <xf numFmtId="0" fontId="0" fillId="6" borderId="19" xfId="0" applyFill="1" applyBorder="1"/>
    <xf numFmtId="14" fontId="0" fillId="6" borderId="1" xfId="0" applyNumberFormat="1" applyFill="1" applyBorder="1"/>
    <xf numFmtId="164" fontId="0" fillId="3" borderId="1" xfId="0" applyNumberFormat="1" applyFill="1" applyBorder="1" applyAlignment="1">
      <alignment wrapText="1"/>
    </xf>
    <xf numFmtId="0" fontId="0" fillId="0" borderId="9" xfId="0" applyBorder="1" applyAlignment="1">
      <alignment horizontal="right"/>
    </xf>
    <xf numFmtId="0" fontId="0" fillId="6" borderId="1" xfId="0" applyFill="1" applyBorder="1" applyAlignment="1">
      <alignment horizontal="right"/>
    </xf>
    <xf numFmtId="0" fontId="1" fillId="7" borderId="1" xfId="0" applyFont="1" applyFill="1" applyBorder="1" applyAlignment="1">
      <alignment horizontal="center" vertical="center"/>
    </xf>
    <xf numFmtId="14" fontId="6" fillId="0" borderId="19" xfId="0" applyNumberFormat="1" applyFont="1" applyBorder="1" applyAlignment="1">
      <alignment vertical="center"/>
    </xf>
    <xf numFmtId="7" fontId="0" fillId="0" borderId="0" xfId="0" applyNumberFormat="1"/>
    <xf numFmtId="0" fontId="0" fillId="0" borderId="4" xfId="0" applyBorder="1" applyAlignment="1">
      <alignment wrapText="1"/>
    </xf>
    <xf numFmtId="0" fontId="0" fillId="0" borderId="30" xfId="0" applyBorder="1"/>
    <xf numFmtId="1" fontId="0" fillId="0" borderId="7" xfId="0" applyNumberFormat="1" applyBorder="1"/>
    <xf numFmtId="0" fontId="7" fillId="0" borderId="0" xfId="0" applyFont="1" applyAlignment="1">
      <alignment horizontal="center"/>
    </xf>
    <xf numFmtId="0" fontId="0" fillId="6" borderId="0" xfId="0" applyFill="1" applyAlignment="1">
      <alignment horizontal="right"/>
    </xf>
    <xf numFmtId="0" fontId="0" fillId="6" borderId="15" xfId="0" applyFill="1" applyBorder="1" applyAlignment="1">
      <alignment horizontal="right"/>
    </xf>
    <xf numFmtId="0" fontId="0" fillId="0" borderId="31" xfId="0" applyBorder="1" applyAlignment="1">
      <alignment horizontal="left"/>
    </xf>
    <xf numFmtId="0" fontId="0" fillId="0" borderId="19" xfId="0" applyBorder="1" applyAlignment="1">
      <alignment horizontal="left"/>
    </xf>
    <xf numFmtId="0" fontId="5" fillId="0" borderId="31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4" borderId="20" xfId="0" applyFill="1" applyBorder="1" applyAlignment="1">
      <alignment horizontal="left" vertical="top"/>
    </xf>
    <xf numFmtId="0" fontId="0" fillId="4" borderId="17" xfId="0" applyFill="1" applyBorder="1" applyAlignment="1">
      <alignment horizontal="left" vertical="top"/>
    </xf>
    <xf numFmtId="0" fontId="0" fillId="4" borderId="21" xfId="0" applyFill="1" applyBorder="1" applyAlignment="1">
      <alignment horizontal="left" vertical="top"/>
    </xf>
    <xf numFmtId="0" fontId="0" fillId="4" borderId="15" xfId="0" applyFill="1" applyBorder="1" applyAlignment="1">
      <alignment horizontal="left" vertical="top"/>
    </xf>
    <xf numFmtId="0" fontId="0" fillId="4" borderId="22" xfId="0" applyFill="1" applyBorder="1" applyAlignment="1">
      <alignment horizontal="left" vertical="top"/>
    </xf>
    <xf numFmtId="0" fontId="0" fillId="4" borderId="16" xfId="0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28">
    <dxf>
      <fill>
        <patternFill>
          <bgColor rgb="FFC00000"/>
        </patternFill>
      </fill>
    </dxf>
    <dxf>
      <numFmt numFmtId="19" formatCode="m/d/yyyy"/>
    </dxf>
    <dxf>
      <numFmt numFmtId="19" formatCode="m/d/yyyy"/>
    </dxf>
    <dxf>
      <numFmt numFmtId="164" formatCode="&quot;$&quot;#,##0.00"/>
    </dxf>
    <dxf>
      <numFmt numFmtId="164" formatCode="&quot;$&quot;#,##0.00"/>
    </dxf>
    <dxf>
      <alignment horizontal="general" vertical="bottom" textRotation="0" wrapText="1" indent="0" justifyLastLine="0" shrinkToFit="0" readingOrder="0"/>
    </dxf>
    <dxf>
      <numFmt numFmtId="1" formatCode="0"/>
    </dxf>
    <dxf>
      <numFmt numFmtId="164" formatCode="&quot;$&quot;#,##0.0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numFmt numFmtId="0" formatCode="General"/>
    </dxf>
    <dxf>
      <numFmt numFmtId="164" formatCode="&quot;$&quot;#,##0.0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164" formatCode="&quot;$&quot;#,##0.00"/>
    </dxf>
    <dxf>
      <numFmt numFmtId="0" formatCode="General"/>
      <alignment horizontal="general" vertical="bottom" textRotation="0" wrapText="1" indent="0" justifyLastLine="0" shrinkToFit="0" readingOrder="0"/>
    </dxf>
    <dxf>
      <border diagonalUp="0" diagonalDown="0" outline="0">
        <left style="thin">
          <color auto="1"/>
        </left>
        <right/>
        <top/>
        <bottom/>
      </border>
    </dxf>
  </dxfs>
  <tableStyles count="0" defaultTableStyle="TableStyleMedium2" defaultPivotStyle="PivotStyleLight16"/>
  <colors>
    <mruColors>
      <color rgb="FFFFFF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1724025</xdr:colOff>
          <xdr:row>46</xdr:row>
          <xdr:rowOff>123825</xdr:rowOff>
        </xdr:from>
        <xdr:to>
          <xdr:col>5</xdr:col>
          <xdr:colOff>1419225</xdr:colOff>
          <xdr:row>48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1400175</xdr:colOff>
          <xdr:row>46</xdr:row>
          <xdr:rowOff>123825</xdr:rowOff>
        </xdr:from>
        <xdr:to>
          <xdr:col>4</xdr:col>
          <xdr:colOff>1276350</xdr:colOff>
          <xdr:row>48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294217</xdr:colOff>
      <xdr:row>1</xdr:row>
      <xdr:rowOff>44450</xdr:rowOff>
    </xdr:from>
    <xdr:to>
      <xdr:col>13</xdr:col>
      <xdr:colOff>393700</xdr:colOff>
      <xdr:row>2</xdr:row>
      <xdr:rowOff>141816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3689034" y="228812"/>
          <a:ext cx="2074841" cy="641180"/>
          <a:chOff x="13660967" y="742950"/>
          <a:chExt cx="1940983" cy="65828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13660967" y="742950"/>
                <a:ext cx="1940983" cy="65828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0" tIns="45720" rIns="91440" bIns="45720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Invoice</a:t>
                </a:r>
              </a:p>
            </xdr:txBody>
          </xdr:sp>
        </mc:Choice>
        <mc:Fallback/>
      </mc:AlternateContent>
      <xdr:pic macro="[0]!InsertRecord">
        <xdr:nvPicPr>
          <xdr:cNvPr id="3" name="Graphic 2" descr="Add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954249" y="878416"/>
            <a:ext cx="385234" cy="38523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294217</xdr:colOff>
      <xdr:row>3</xdr:row>
      <xdr:rowOff>21168</xdr:rowOff>
    </xdr:from>
    <xdr:to>
      <xdr:col>13</xdr:col>
      <xdr:colOff>391245</xdr:colOff>
      <xdr:row>6</xdr:row>
      <xdr:rowOff>98426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3689034" y="947506"/>
          <a:ext cx="2072386" cy="643001"/>
          <a:chOff x="14973304" y="1524001"/>
          <a:chExt cx="1931457" cy="65934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200-0000030C0000}"/>
                  </a:ext>
                </a:extLst>
              </xdr:cNvPr>
              <xdr:cNvSpPr/>
            </xdr:nvSpPr>
            <xdr:spPr bwMode="auto">
              <a:xfrm>
                <a:off x="14973304" y="1524001"/>
                <a:ext cx="1931457" cy="6593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0" tIns="45720" rIns="91440" bIns="45720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Invoice</a:t>
                </a:r>
              </a:p>
            </xdr:txBody>
          </xdr:sp>
        </mc:Choice>
        <mc:Fallback/>
      </mc:AlternateContent>
      <xdr:pic>
        <xdr:nvPicPr>
          <xdr:cNvPr id="6" name="Graphic 5" descr="Close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6298334" y="1682750"/>
            <a:ext cx="353483" cy="35348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483658</xdr:colOff>
      <xdr:row>1</xdr:row>
      <xdr:rowOff>32809</xdr:rowOff>
    </xdr:from>
    <xdr:to>
      <xdr:col>16</xdr:col>
      <xdr:colOff>583141</xdr:colOff>
      <xdr:row>2</xdr:row>
      <xdr:rowOff>130260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15860691" y="217933"/>
          <a:ext cx="2076365" cy="640884"/>
          <a:chOff x="14982825" y="2318809"/>
          <a:chExt cx="1940983" cy="67733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200-0000040C0000}"/>
                  </a:ext>
                </a:extLst>
              </xdr:cNvPr>
              <xdr:cNvSpPr/>
            </xdr:nvSpPr>
            <xdr:spPr bwMode="auto">
              <a:xfrm>
                <a:off x="14982825" y="2318809"/>
                <a:ext cx="1940983" cy="67733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0" tIns="45720" rIns="91440" bIns="45720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as xlsx</a:t>
                </a:r>
              </a:p>
            </xdr:txBody>
          </xdr:sp>
        </mc:Choice>
        <mc:Fallback/>
      </mc:AlternateContent>
      <xdr:pic>
        <xdr:nvPicPr>
          <xdr:cNvPr id="5" name="Graphic 4" descr="Disk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6287747" y="2434165"/>
            <a:ext cx="427567" cy="427567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496358</xdr:colOff>
      <xdr:row>3</xdr:row>
      <xdr:rowOff>22225</xdr:rowOff>
    </xdr:from>
    <xdr:to>
      <xdr:col>16</xdr:col>
      <xdr:colOff>591608</xdr:colOff>
      <xdr:row>6</xdr:row>
      <xdr:rowOff>98510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15874534" y="948563"/>
          <a:ext cx="2070608" cy="642028"/>
          <a:chOff x="14995525" y="3101973"/>
          <a:chExt cx="1936750" cy="6477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7" name="Button 5" hidden="1">
                <a:extLst>
                  <a:ext uri="{63B3BB69-23CF-44E3-9099-C40C66FF867C}">
                    <a14:compatExt spid="_x0000_s3077"/>
                  </a:ext>
                  <a:ext uri="{FF2B5EF4-FFF2-40B4-BE49-F238E27FC236}">
                    <a16:creationId xmlns:a16="http://schemas.microsoft.com/office/drawing/2014/main" id="{00000000-0008-0000-0200-0000050C0000}"/>
                  </a:ext>
                </a:extLst>
              </xdr:cNvPr>
              <xdr:cNvSpPr/>
            </xdr:nvSpPr>
            <xdr:spPr bwMode="auto">
              <a:xfrm>
                <a:off x="14995525" y="3101973"/>
                <a:ext cx="1936750" cy="647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0" tIns="45720" rIns="91440" bIns="45720" anchor="ctr" upright="1"/>
              <a:lstStyle/>
              <a:p>
                <a:pPr algn="l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as pdf</a:t>
                </a:r>
              </a:p>
            </xdr:txBody>
          </xdr:sp>
        </mc:Choice>
        <mc:Fallback/>
      </mc:AlternateContent>
      <xdr:pic>
        <xdr:nvPicPr>
          <xdr:cNvPr id="15" name="Graphic 14" descr="Download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6287751" y="3175000"/>
            <a:ext cx="465667" cy="465667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6C5C1D-B919-42D4-9875-A5B246390678}" name="Table7" displayName="Table7" ref="C13:G43" totalsRowShown="0">
  <autoFilter ref="C13:G43" xr:uid="{BA6C5C1D-B919-42D4-9875-A5B246390678}">
    <filterColumn colId="0" hiddenButton="1"/>
    <filterColumn colId="1" hiddenButton="1"/>
    <filterColumn colId="2" hiddenButton="1"/>
    <filterColumn colId="3" hiddenButton="1"/>
    <filterColumn colId="4" hiddenButton="1">
      <filters>
        <filter val="FALSE"/>
      </filters>
    </filterColumn>
  </autoFilter>
  <tableColumns count="5">
    <tableColumn id="1" xr3:uid="{0FDCFBB9-C820-49DE-A712-09E325F73B99}" name="ID" dataDxfId="27"/>
    <tableColumn id="2" xr3:uid="{2C065432-E84B-4697-8B74-39D55A377AE9}" name="Product" dataDxfId="26">
      <calculatedColumnFormula>IF(ISBLANK(Table7[[#This Row],[ID]]),"",VLOOKUP(Table7[[#This Row],[ID]],Table1[#All],2,FALSE))</calculatedColumnFormula>
    </tableColumn>
    <tableColumn id="3" xr3:uid="{829708E5-1755-4647-8FB2-8A7D3AD9DA2C}" name="Price" dataDxfId="25">
      <calculatedColumnFormula>IF(ISBLANK(Table7[[#This Row],[ID]]),"",VLOOKUP(Table7[[#This Row],[ID]],Table1[#All],4,FALSE))</calculatedColumnFormula>
    </tableColumn>
    <tableColumn id="4" xr3:uid="{DD3DF6E1-F0E5-4357-A3B4-E1150A3B9D60}" name="Quantity"/>
    <tableColumn id="5" xr3:uid="{75DCCD22-AB17-4DED-A16E-F8B1CA6039E2}" name="LineTool" dataDxfId="24">
      <calculatedColumnFormula>IF(ISBLANK(C13),TRUE,FALSE)</calculatedColumnFormula>
    </tableColumn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C0FDB3-3ACB-4088-B93B-3D528B2EA7D7}" name="Table47" displayName="Table47" ref="C10:I40" totalsRowShown="0" headerRowDxfId="23" tableBorderDxfId="22">
  <autoFilter ref="C10:I40" xr:uid="{1BE4B263-E2D4-4EA9-B8D1-ACA6B953E7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>
      <filters>
        <filter val="FALSE"/>
      </filters>
    </filterColumn>
  </autoFilter>
  <tableColumns count="7">
    <tableColumn id="1" xr3:uid="{ABD0BBC1-EC71-46ED-B286-548C502EA59D}" name="Product" dataDxfId="21">
      <calculatedColumnFormula>'Purchase Order Entry Window'!D14</calculatedColumnFormula>
    </tableColumn>
    <tableColumn id="2" xr3:uid="{ED328C3C-2ECE-482E-980A-AC67DDBD1D37}" name="Description" dataDxfId="20">
      <calculatedColumnFormula>IF(C11="","",VLOOKUP(C11,Table1[[#All],[Product Name]:[Product Price]],2,FALSE))</calculatedColumnFormula>
    </tableColumn>
    <tableColumn id="3" xr3:uid="{3FB13040-74EF-4B45-B6C1-C595DF6A3861}" name="Quantity" dataDxfId="19">
      <calculatedColumnFormula>IF(ISBLANK('Purchase Order Entry Window'!F14),"",'Purchase Order Entry Window'!F14)</calculatedColumnFormula>
    </tableColumn>
    <tableColumn id="4" xr3:uid="{2B185851-5EC1-4FE9-817A-AB39F40CA507}" name="Unit Price" dataDxfId="18">
      <calculatedColumnFormula>IF(Table47[[#This Row],[Product]]="","",VLOOKUP(Table47[[#This Row],[Product]],Table1[[#All],[Product Name]:[Product Price]],3,FALSE))</calculatedColumnFormula>
    </tableColumn>
    <tableColumn id="5" xr3:uid="{FBFAF995-1E0B-46A3-BF69-766F8CE25D0D}" name="VAT" dataDxfId="17">
      <calculatedColumnFormula>IF(F11="","",F11*E11*0.2)</calculatedColumnFormula>
    </tableColumn>
    <tableColumn id="6" xr3:uid="{521F7A53-D7C8-4418-894F-F1974339A55B}" name="Total (Tax exc.)" dataDxfId="16">
      <calculatedColumnFormula>IF(F11="","",F11*E11)</calculatedColumnFormula>
    </tableColumn>
    <tableColumn id="7" xr3:uid="{9A3FF787-AF3D-48E7-B5B3-8B043325A5F9}" name="LineTool" dataDxfId="15">
      <calculatedColumnFormula>IF(C10="",TRUE,FALSE)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E4B263-E2D4-4EA9-B8D1-ACA6B953E755}" name="Table4" displayName="Table4" ref="C10:I40" totalsRowShown="0" headerRowDxfId="14" tableBorderDxfId="13">
  <autoFilter ref="C10:I40" xr:uid="{1BE4B263-E2D4-4EA9-B8D1-ACA6B953E7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>
      <filters>
        <filter val="FALSE"/>
      </filters>
    </filterColumn>
  </autoFilter>
  <tableColumns count="7">
    <tableColumn id="1" xr3:uid="{6845CD1C-F864-4A30-87EC-BBEAD05DC634}" name="Product" dataDxfId="12"/>
    <tableColumn id="2" xr3:uid="{E08FB422-AA4B-472E-9A91-D39992812D09}" name="Description" dataDxfId="11">
      <calculatedColumnFormula>IF(ISBLANK(Table4[[#This Row],[Product]]),"",VLOOKUP(Table4[[#This Row],[Product]],Table1[[#All],[Product Name]:[Product Price]],2,FALSE))</calculatedColumnFormula>
    </tableColumn>
    <tableColumn id="3" xr3:uid="{6ABF8269-9440-4AB7-BE0D-3BDC7C27AED7}" name="Quantity" dataDxfId="10"/>
    <tableColumn id="4" xr3:uid="{E8F3A866-F82F-47EF-B37F-559FC8299E7A}" name="Unit Price" dataDxfId="9">
      <calculatedColumnFormula>IF(ISBLANK(Table4[[#This Row],[Product]]),"",VLOOKUP(Table4[[#This Row],[Product]],Table1[[#All],[Product Name]:[Product Price]],3,FALSE))</calculatedColumnFormula>
    </tableColumn>
    <tableColumn id="5" xr3:uid="{26B4FD2E-44C1-423A-943D-27EF31421754}" name="VAT" dataDxfId="8"/>
    <tableColumn id="6" xr3:uid="{89933953-F55F-4611-9C08-2E2C3BB77592}" name="Total (Tax exc.)" dataDxfId="7"/>
    <tableColumn id="7" xr3:uid="{EE5F87CE-EDD8-49B2-A1BE-C2379F3E7355}" name="LineTool">
      <calculatedColumnFormula>IF(ISBLANK(C10),TRUE,FALSE)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8B4E4F-CA75-4F37-935F-1771E2479F97}" name="Table13" displayName="Table13" ref="A1:H31" totalsRowShown="0">
  <autoFilter ref="A1:H31" xr:uid="{AF5FC5C6-F109-437E-B1D5-3BB3ADE4F7E4}"/>
  <tableColumns count="8">
    <tableColumn id="2" xr3:uid="{DEE6B423-9F77-4F7B-9810-597D4367B5CA}" name="Company Name"/>
    <tableColumn id="3" xr3:uid="{91F4B820-4D74-40B4-9BE1-BB43834B7368}" name="Address 1"/>
    <tableColumn id="4" xr3:uid="{B69CC363-A6F9-41D3-95F2-D6F1B6351CF5}" name="Address 2"/>
    <tableColumn id="5" xr3:uid="{AFB5D321-B0CE-4BF3-8645-216F42F75BBD}" name="Contact Email"/>
    <tableColumn id="6" xr3:uid="{A2FA87CD-1634-416C-8CAC-FC96AF5D9FDB}" name="Telephone"/>
    <tableColumn id="7" xr3:uid="{7734968E-882F-4BB2-8DF6-A78DD27CD4F3}" name="Bank"/>
    <tableColumn id="8" xr3:uid="{B43BCF2E-6D1F-4C99-9637-012EEDE852D9}" name="Account Number" dataDxfId="6"/>
    <tableColumn id="9" xr3:uid="{040DCAE8-FE94-419A-AB7D-BF79D2ADC87C}" name="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4BEC3E-2801-4ADB-9633-D14ED4E15C09}" name="Table1" displayName="Table1" ref="A1:D101" totalsRowShown="0">
  <autoFilter ref="A1:D101" xr:uid="{ED9E7DD7-D98A-4D89-92CE-17017A20333E}"/>
  <tableColumns count="4">
    <tableColumn id="1" xr3:uid="{82EB2C37-6EE0-497E-A41B-7375A95A4FC4}" name="ID"/>
    <tableColumn id="2" xr3:uid="{C08F392B-72E7-426B-8199-037F9B641DA2}" name="Product Name"/>
    <tableColumn id="3" xr3:uid="{36B3C9B4-BCC9-4DC1-BA69-7EAF8E2777EB}" name="Product Description" dataDxfId="5"/>
    <tableColumn id="4" xr3:uid="{01EE6750-4767-4B38-9566-BD8693574117}" name="Product Price" data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C1C2F6C-BE70-4232-94BD-818E163A1A15}" name="Table5" displayName="Table5" ref="A1:H4" totalsRowShown="0">
  <autoFilter ref="A1:H4" xr:uid="{9C1C2F6C-BE70-4232-94BD-818E163A1A15}"/>
  <tableColumns count="8">
    <tableColumn id="1" xr3:uid="{EF1F55B5-289D-41C7-97BA-1B62ED1C5EAD}" name="Invoice No"/>
    <tableColumn id="2" xr3:uid="{76C1E332-4FEC-4AFF-B096-DFCFE0E288B5}" name="Company"/>
    <tableColumn id="3" xr3:uid="{73FC2AE7-4C87-44C6-95DD-4FCD8DB1E0EF}" name="Amount" dataDxfId="3"/>
    <tableColumn id="4" xr3:uid="{C6994572-BB35-41BB-802F-E607983B03AC}" name="Date Issued" dataDxfId="2"/>
    <tableColumn id="5" xr3:uid="{BE6CDDA6-C55B-4CC9-81B1-4B52A5B1EDE8}" name="Date Due" dataDxfId="1"/>
    <tableColumn id="6" xr3:uid="{D7A960AF-AC18-457D-A77B-0B57B6CF51D7}" name="Paid"/>
    <tableColumn id="7" xr3:uid="{7DA059B7-6134-465D-80A0-6D36647F49F4}" name="Excel File" dataCellStyle="Hyperlink"/>
    <tableColumn id="8" xr3:uid="{3B8BF23F-D7B7-406F-9E6A-CF998356D110}" name="PDF File" dataCellStyle="Hyperlink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atrickrobison17@gmail.com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jsteel@oliveri.com" TargetMode="External"/><Relationship Id="rId1" Type="http://schemas.openxmlformats.org/officeDocument/2006/relationships/hyperlink" Target="mailto:probison@robco.com" TargetMode="Externa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lisa.johnson@sunburst.com" TargetMode="External"/><Relationship Id="rId13" Type="http://schemas.openxmlformats.org/officeDocument/2006/relationships/hyperlink" Target="mailto:mike.jones@acme.com" TargetMode="External"/><Relationship Id="rId18" Type="http://schemas.openxmlformats.org/officeDocument/2006/relationships/hyperlink" Target="mailto:jordanu@starlightsystems.com" TargetMode="External"/><Relationship Id="rId26" Type="http://schemas.openxmlformats.org/officeDocument/2006/relationships/hyperlink" Target="mailto:sean.hanes@novasolutions.com" TargetMode="External"/><Relationship Id="rId3" Type="http://schemas.openxmlformats.org/officeDocument/2006/relationships/hyperlink" Target="mailto:info@mountainview.com" TargetMode="External"/><Relationship Id="rId21" Type="http://schemas.openxmlformats.org/officeDocument/2006/relationships/hyperlink" Target="mailto:ceastwood@fusioncorp.com" TargetMode="External"/><Relationship Id="rId7" Type="http://schemas.openxmlformats.org/officeDocument/2006/relationships/hyperlink" Target="mailto:mark.wilson@brightideas.com" TargetMode="External"/><Relationship Id="rId12" Type="http://schemas.openxmlformats.org/officeDocument/2006/relationships/hyperlink" Target="mailto:emily.smith@summit.com" TargetMode="External"/><Relationship Id="rId17" Type="http://schemas.openxmlformats.org/officeDocument/2006/relationships/hyperlink" Target="mailto:gary.king@zenithenterprises.com" TargetMode="External"/><Relationship Id="rId25" Type="http://schemas.openxmlformats.org/officeDocument/2006/relationships/hyperlink" Target="mailto:lyjung@infinityinc.com" TargetMode="External"/><Relationship Id="rId2" Type="http://schemas.openxmlformats.org/officeDocument/2006/relationships/hyperlink" Target="mailto:contact@alphaassociates.com" TargetMode="External"/><Relationship Id="rId16" Type="http://schemas.openxmlformats.org/officeDocument/2006/relationships/hyperlink" Target="mailto:jjacobs@omegasolutions.com" TargetMode="External"/><Relationship Id="rId20" Type="http://schemas.openxmlformats.org/officeDocument/2006/relationships/hyperlink" Target="mailto:fhorrigan@globalgroup.com" TargetMode="External"/><Relationship Id="rId29" Type="http://schemas.openxmlformats.org/officeDocument/2006/relationships/hyperlink" Target="mailto:insert.name@quantumquotient.com" TargetMode="External"/><Relationship Id="rId1" Type="http://schemas.openxmlformats.org/officeDocument/2006/relationships/hyperlink" Target="mailto:jsteel@oliveri.com" TargetMode="External"/><Relationship Id="rId6" Type="http://schemas.openxmlformats.org/officeDocument/2006/relationships/hyperlink" Target="mailto:ashley.miller@silverstar.com" TargetMode="External"/><Relationship Id="rId11" Type="http://schemas.openxmlformats.org/officeDocument/2006/relationships/hyperlink" Target="mailto:david.brown@paclog.com" TargetMode="External"/><Relationship Id="rId24" Type="http://schemas.openxmlformats.org/officeDocument/2006/relationships/hyperlink" Target="mailto:abigail.lockwood@diamonddynamics.com" TargetMode="External"/><Relationship Id="rId5" Type="http://schemas.openxmlformats.org/officeDocument/2006/relationships/hyperlink" Target="mailto:brian.james@swift.com" TargetMode="External"/><Relationship Id="rId15" Type="http://schemas.openxmlformats.org/officeDocument/2006/relationships/hyperlink" Target="mailto:john.smith@xyzcorp.com" TargetMode="External"/><Relationship Id="rId23" Type="http://schemas.openxmlformats.org/officeDocument/2006/relationships/hyperlink" Target="mailto:kyle.steward@phoenixpartners.com" TargetMode="External"/><Relationship Id="rId28" Type="http://schemas.openxmlformats.org/officeDocument/2006/relationships/hyperlink" Target="mailto:bethany.bell@platinumpartners.com" TargetMode="External"/><Relationship Id="rId10" Type="http://schemas.openxmlformats.org/officeDocument/2006/relationships/hyperlink" Target="mailto:jessica.white@cascade.com" TargetMode="External"/><Relationship Id="rId19" Type="http://schemas.openxmlformats.org/officeDocument/2006/relationships/hyperlink" Target="mailto:sholmes@elitesolutions.com" TargetMode="External"/><Relationship Id="rId31" Type="http://schemas.openxmlformats.org/officeDocument/2006/relationships/table" Target="../tables/table4.xml"/><Relationship Id="rId4" Type="http://schemas.openxmlformats.org/officeDocument/2006/relationships/hyperlink" Target="mailto:amy.jones@evergreen.com" TargetMode="External"/><Relationship Id="rId9" Type="http://schemas.openxmlformats.org/officeDocument/2006/relationships/hyperlink" Target="mailto:andrew.johnson@goldengate.com" TargetMode="External"/><Relationship Id="rId14" Type="http://schemas.openxmlformats.org/officeDocument/2006/relationships/hyperlink" Target="mailto:sarah.doe@abc.com" TargetMode="External"/><Relationship Id="rId22" Type="http://schemas.openxmlformats.org/officeDocument/2006/relationships/hyperlink" Target="mailto:calvin.morriganson@libertyltd.com" TargetMode="External"/><Relationship Id="rId27" Type="http://schemas.openxmlformats.org/officeDocument/2006/relationships/hyperlink" Target="mailto:vincent.richardson@sunflowersystems.com" TargetMode="External"/><Relationship Id="rId30" Type="http://schemas.openxmlformats.org/officeDocument/2006/relationships/hyperlink" Target="mailto:patrickrobison17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Invoices/3-ABC%20Industries.pdf" TargetMode="External"/><Relationship Id="rId1" Type="http://schemas.openxmlformats.org/officeDocument/2006/relationships/hyperlink" Target="../../Invoices/3-ABC%20Industries.xlsx" TargetMode="Externa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FAEA-B95C-41C1-9BCF-18AA99B727F8}">
  <sheetPr codeName="Sheet1"/>
  <dimension ref="A2:C17"/>
  <sheetViews>
    <sheetView showGridLines="0" workbookViewId="0">
      <selection activeCell="B7" sqref="B7"/>
    </sheetView>
  </sheetViews>
  <sheetFormatPr defaultRowHeight="15" x14ac:dyDescent="0.25"/>
  <cols>
    <col min="1" max="1" width="16" customWidth="1"/>
    <col min="2" max="2" width="10.42578125" customWidth="1"/>
  </cols>
  <sheetData>
    <row r="2" spans="1:3" x14ac:dyDescent="0.25">
      <c r="A2" s="101" t="s">
        <v>34</v>
      </c>
      <c r="B2" s="101"/>
      <c r="C2" s="101"/>
    </row>
    <row r="3" spans="1:3" x14ac:dyDescent="0.25">
      <c r="A3" s="101"/>
      <c r="B3" s="101"/>
      <c r="C3" s="101"/>
    </row>
    <row r="5" spans="1:3" x14ac:dyDescent="0.25">
      <c r="A5" t="s">
        <v>23</v>
      </c>
      <c r="B5">
        <v>14</v>
      </c>
    </row>
    <row r="6" spans="1:3" x14ac:dyDescent="0.25">
      <c r="A6" t="s">
        <v>33</v>
      </c>
      <c r="B6" t="s">
        <v>32</v>
      </c>
    </row>
    <row r="7" spans="1:3" x14ac:dyDescent="0.25">
      <c r="A7" t="s">
        <v>31</v>
      </c>
      <c r="B7" s="39">
        <v>45430</v>
      </c>
    </row>
    <row r="8" spans="1:3" ht="15.75" thickBot="1" x14ac:dyDescent="0.3"/>
    <row r="9" spans="1:3" x14ac:dyDescent="0.25">
      <c r="A9" s="38" t="s">
        <v>30</v>
      </c>
      <c r="B9" s="6" t="s">
        <v>13</v>
      </c>
    </row>
    <row r="10" spans="1:3" x14ac:dyDescent="0.25">
      <c r="A10" s="37">
        <v>93</v>
      </c>
      <c r="B10" s="7">
        <v>3</v>
      </c>
    </row>
    <row r="11" spans="1:3" x14ac:dyDescent="0.25">
      <c r="A11" s="37">
        <v>3</v>
      </c>
      <c r="B11" s="7">
        <v>3</v>
      </c>
    </row>
    <row r="12" spans="1:3" x14ac:dyDescent="0.25">
      <c r="A12" s="37">
        <v>48</v>
      </c>
      <c r="B12" s="7">
        <v>1</v>
      </c>
    </row>
    <row r="13" spans="1:3" x14ac:dyDescent="0.25">
      <c r="A13" s="37">
        <v>67</v>
      </c>
      <c r="B13" s="7">
        <v>2</v>
      </c>
    </row>
    <row r="14" spans="1:3" ht="15.75" thickBot="1" x14ac:dyDescent="0.3">
      <c r="A14" s="36">
        <v>14</v>
      </c>
      <c r="B14" s="9">
        <v>5</v>
      </c>
    </row>
    <row r="16" spans="1:3" x14ac:dyDescent="0.25">
      <c r="A16" t="s">
        <v>26</v>
      </c>
    </row>
    <row r="17" spans="1:1" ht="30" x14ac:dyDescent="0.25">
      <c r="A17" s="35" t="s">
        <v>29</v>
      </c>
    </row>
  </sheetData>
  <mergeCells count="1">
    <mergeCell ref="A2:C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F67D5-9AEF-459F-AA39-D42DE5C2CA8E}">
  <sheetPr codeName="Sheet6"/>
  <dimension ref="B7:H49"/>
  <sheetViews>
    <sheetView showGridLines="0" workbookViewId="0">
      <selection activeCell="L51" sqref="L51"/>
    </sheetView>
  </sheetViews>
  <sheetFormatPr defaultRowHeight="15" x14ac:dyDescent="0.25"/>
  <cols>
    <col min="2" max="2" width="7.28515625" customWidth="1"/>
    <col min="3" max="3" width="6.42578125" customWidth="1"/>
    <col min="4" max="4" width="26.140625" customWidth="1"/>
    <col min="5" max="5" width="28.85546875" customWidth="1"/>
    <col min="6" max="6" width="21.7109375" customWidth="1"/>
    <col min="7" max="7" width="10.7109375" hidden="1" customWidth="1"/>
    <col min="8" max="8" width="4.85546875" customWidth="1"/>
  </cols>
  <sheetData>
    <row r="7" spans="2:8" x14ac:dyDescent="0.25">
      <c r="B7" s="104" t="s">
        <v>385</v>
      </c>
      <c r="C7" s="105"/>
      <c r="D7" s="105"/>
      <c r="E7" s="105"/>
      <c r="F7" s="105"/>
      <c r="G7" s="64"/>
      <c r="H7" s="95" t="s">
        <v>389</v>
      </c>
    </row>
    <row r="8" spans="2:8" x14ac:dyDescent="0.25">
      <c r="B8" s="78"/>
      <c r="C8" s="79"/>
      <c r="D8" s="79"/>
      <c r="E8" s="79"/>
      <c r="F8" s="79"/>
      <c r="G8" s="80"/>
      <c r="H8" s="81"/>
    </row>
    <row r="9" spans="2:8" x14ac:dyDescent="0.25">
      <c r="B9" s="78"/>
      <c r="C9" s="79"/>
      <c r="D9" s="82" t="s">
        <v>387</v>
      </c>
      <c r="E9" s="94" t="s">
        <v>0</v>
      </c>
      <c r="F9" s="79"/>
      <c r="G9" s="80"/>
      <c r="H9" s="81"/>
    </row>
    <row r="10" spans="2:8" x14ac:dyDescent="0.25">
      <c r="B10" s="83"/>
      <c r="C10" s="80"/>
      <c r="D10" s="84" t="s">
        <v>388</v>
      </c>
      <c r="E10" s="94" t="s">
        <v>396</v>
      </c>
      <c r="F10" s="80"/>
      <c r="G10" s="80"/>
      <c r="H10" s="81"/>
    </row>
    <row r="11" spans="2:8" x14ac:dyDescent="0.25">
      <c r="B11" s="83"/>
      <c r="C11" s="80"/>
      <c r="D11" s="85" t="s">
        <v>4</v>
      </c>
      <c r="E11" s="91">
        <f ca="1">TODAY()</f>
        <v>45439</v>
      </c>
      <c r="F11" s="80"/>
      <c r="G11" s="80"/>
      <c r="H11" s="81"/>
    </row>
    <row r="12" spans="2:8" x14ac:dyDescent="0.25">
      <c r="B12" s="83"/>
      <c r="C12" s="80"/>
      <c r="D12" s="80"/>
      <c r="E12" s="80"/>
      <c r="F12" s="80"/>
      <c r="G12" s="80"/>
      <c r="H12" s="81"/>
    </row>
    <row r="13" spans="2:8" x14ac:dyDescent="0.25">
      <c r="B13" s="83"/>
      <c r="C13" s="68" t="s">
        <v>35</v>
      </c>
      <c r="D13" s="64" t="s">
        <v>11</v>
      </c>
      <c r="E13" s="64" t="s">
        <v>386</v>
      </c>
      <c r="F13" s="27" t="s">
        <v>13</v>
      </c>
      <c r="G13" t="s">
        <v>380</v>
      </c>
      <c r="H13" s="88"/>
    </row>
    <row r="14" spans="2:8" x14ac:dyDescent="0.25">
      <c r="B14" s="83"/>
      <c r="C14" s="65">
        <v>1</v>
      </c>
      <c r="D14" s="66" t="str">
        <f>IF(ISBLANK(Table7[[#This Row],[ID]]),"",VLOOKUP(Table7[[#This Row],[ID]],Table1[#All],2,FALSE))</f>
        <v>Spark Plugs</v>
      </c>
      <c r="E14" s="67">
        <f>IF(ISBLANK(Table7[[#This Row],[ID]]),"",VLOOKUP(Table7[[#This Row],[ID]],Table1[#All],4,FALSE))</f>
        <v>4.99</v>
      </c>
      <c r="F14" s="66">
        <v>1</v>
      </c>
      <c r="G14" s="48" t="b">
        <f>IF(ISBLANK(C13),TRUE,FALSE)</f>
        <v>0</v>
      </c>
      <c r="H14" s="88"/>
    </row>
    <row r="15" spans="2:8" x14ac:dyDescent="0.25">
      <c r="B15" s="83"/>
      <c r="C15" s="48"/>
      <c r="D15" s="35" t="str">
        <f>IF(ISBLANK(Table7[[#This Row],[ID]]),"",VLOOKUP(Table7[[#This Row],[ID]],Table1[#All],2,FALSE))</f>
        <v/>
      </c>
      <c r="E15" s="22" t="str">
        <f>IF(ISBLANK(Table7[[#This Row],[ID]]),"",VLOOKUP(Table7[[#This Row],[ID]],Table1[#All],4,FALSE))</f>
        <v/>
      </c>
      <c r="G15" s="48" t="b">
        <f t="shared" ref="G15:G43" si="0">IF(ISBLANK(C14),TRUE,FALSE)</f>
        <v>0</v>
      </c>
      <c r="H15" s="88"/>
    </row>
    <row r="16" spans="2:8" hidden="1" x14ac:dyDescent="0.25">
      <c r="B16" s="83"/>
      <c r="C16" s="48"/>
      <c r="D16" s="35" t="str">
        <f>IF(ISBLANK(Table7[[#This Row],[ID]]),"",VLOOKUP(Table7[[#This Row],[ID]],Table1[#All],2,FALSE))</f>
        <v/>
      </c>
      <c r="E16" s="22" t="str">
        <f>IF(ISBLANK(Table7[[#This Row],[ID]]),"",VLOOKUP(Table7[[#This Row],[ID]],Table1[#All],4,FALSE))</f>
        <v/>
      </c>
      <c r="G16" s="48" t="b">
        <f t="shared" si="0"/>
        <v>1</v>
      </c>
      <c r="H16" s="88"/>
    </row>
    <row r="17" spans="2:8" hidden="1" x14ac:dyDescent="0.25">
      <c r="B17" s="83"/>
      <c r="C17" s="48"/>
      <c r="D17" s="35" t="str">
        <f>IF(ISBLANK(Table7[[#This Row],[ID]]),"",VLOOKUP(Table7[[#This Row],[ID]],Table1[#All],2,FALSE))</f>
        <v/>
      </c>
      <c r="E17" s="22" t="str">
        <f>IF(ISBLANK(Table7[[#This Row],[ID]]),"",VLOOKUP(Table7[[#This Row],[ID]],Table1[#All],4,FALSE))</f>
        <v/>
      </c>
      <c r="G17" s="48" t="b">
        <f t="shared" si="0"/>
        <v>1</v>
      </c>
      <c r="H17" s="88"/>
    </row>
    <row r="18" spans="2:8" hidden="1" x14ac:dyDescent="0.25">
      <c r="B18" s="83"/>
      <c r="C18" s="48"/>
      <c r="D18" s="35" t="str">
        <f>IF(ISBLANK(Table7[[#This Row],[ID]]),"",VLOOKUP(Table7[[#This Row],[ID]],Table1[#All],2,FALSE))</f>
        <v/>
      </c>
      <c r="E18" s="22" t="str">
        <f>IF(ISBLANK(Table7[[#This Row],[ID]]),"",VLOOKUP(Table7[[#This Row],[ID]],Table1[#All],4,FALSE))</f>
        <v/>
      </c>
      <c r="G18" s="48" t="b">
        <f t="shared" si="0"/>
        <v>1</v>
      </c>
      <c r="H18" s="88"/>
    </row>
    <row r="19" spans="2:8" hidden="1" x14ac:dyDescent="0.25">
      <c r="B19" s="83"/>
      <c r="C19" s="48"/>
      <c r="D19" s="35" t="str">
        <f>IF(ISBLANK(Table7[[#This Row],[ID]]),"",VLOOKUP(Table7[[#This Row],[ID]],Table1[#All],2,FALSE))</f>
        <v/>
      </c>
      <c r="E19" s="22" t="str">
        <f>IF(ISBLANK(Table7[[#This Row],[ID]]),"",VLOOKUP(Table7[[#This Row],[ID]],Table1[#All],4,FALSE))</f>
        <v/>
      </c>
      <c r="G19" s="48" t="b">
        <f t="shared" si="0"/>
        <v>1</v>
      </c>
      <c r="H19" s="88"/>
    </row>
    <row r="20" spans="2:8" hidden="1" x14ac:dyDescent="0.25">
      <c r="B20" s="83"/>
      <c r="C20" s="48"/>
      <c r="D20" s="35" t="str">
        <f>IF(ISBLANK(Table7[[#This Row],[ID]]),"",VLOOKUP(Table7[[#This Row],[ID]],Table1[#All],2,FALSE))</f>
        <v/>
      </c>
      <c r="E20" s="22" t="str">
        <f>IF(ISBLANK(Table7[[#This Row],[ID]]),"",VLOOKUP(Table7[[#This Row],[ID]],Table1[#All],4,FALSE))</f>
        <v/>
      </c>
      <c r="G20" s="48" t="b">
        <f t="shared" si="0"/>
        <v>1</v>
      </c>
      <c r="H20" s="88"/>
    </row>
    <row r="21" spans="2:8" hidden="1" x14ac:dyDescent="0.25">
      <c r="B21" s="83"/>
      <c r="C21" s="48"/>
      <c r="D21" s="35" t="str">
        <f>IF(ISBLANK(Table7[[#This Row],[ID]]),"",VLOOKUP(Table7[[#This Row],[ID]],Table1[#All],2,FALSE))</f>
        <v/>
      </c>
      <c r="E21" s="22" t="str">
        <f>IF(ISBLANK(Table7[[#This Row],[ID]]),"",VLOOKUP(Table7[[#This Row],[ID]],Table1[#All],4,FALSE))</f>
        <v/>
      </c>
      <c r="G21" s="48" t="b">
        <f t="shared" si="0"/>
        <v>1</v>
      </c>
      <c r="H21" s="88"/>
    </row>
    <row r="22" spans="2:8" hidden="1" x14ac:dyDescent="0.25">
      <c r="B22" s="83"/>
      <c r="C22" s="48"/>
      <c r="D22" s="35" t="str">
        <f>IF(ISBLANK(Table7[[#This Row],[ID]]),"",VLOOKUP(Table7[[#This Row],[ID]],Table1[#All],2,FALSE))</f>
        <v/>
      </c>
      <c r="E22" s="22" t="str">
        <f>IF(ISBLANK(Table7[[#This Row],[ID]]),"",VLOOKUP(Table7[[#This Row],[ID]],Table1[#All],4,FALSE))</f>
        <v/>
      </c>
      <c r="G22" s="48" t="b">
        <f t="shared" si="0"/>
        <v>1</v>
      </c>
      <c r="H22" s="88"/>
    </row>
    <row r="23" spans="2:8" hidden="1" x14ac:dyDescent="0.25">
      <c r="B23" s="83"/>
      <c r="C23" s="48"/>
      <c r="D23" s="35" t="str">
        <f>IF(ISBLANK(Table7[[#This Row],[ID]]),"",VLOOKUP(Table7[[#This Row],[ID]],Table1[#All],2,FALSE))</f>
        <v/>
      </c>
      <c r="E23" s="22" t="str">
        <f>IF(ISBLANK(Table7[[#This Row],[ID]]),"",VLOOKUP(Table7[[#This Row],[ID]],Table1[#All],4,FALSE))</f>
        <v/>
      </c>
      <c r="G23" s="48" t="b">
        <f t="shared" si="0"/>
        <v>1</v>
      </c>
      <c r="H23" s="88"/>
    </row>
    <row r="24" spans="2:8" hidden="1" x14ac:dyDescent="0.25">
      <c r="B24" s="83"/>
      <c r="C24" s="48"/>
      <c r="D24" s="35" t="str">
        <f>IF(ISBLANK(Table7[[#This Row],[ID]]),"",VLOOKUP(Table7[[#This Row],[ID]],Table1[#All],2,FALSE))</f>
        <v/>
      </c>
      <c r="E24" s="22" t="str">
        <f>IF(ISBLANK(Table7[[#This Row],[ID]]),"",VLOOKUP(Table7[[#This Row],[ID]],Table1[#All],4,FALSE))</f>
        <v/>
      </c>
      <c r="G24" s="48" t="b">
        <f t="shared" si="0"/>
        <v>1</v>
      </c>
      <c r="H24" s="88"/>
    </row>
    <row r="25" spans="2:8" hidden="1" x14ac:dyDescent="0.25">
      <c r="B25" s="83"/>
      <c r="C25" s="48"/>
      <c r="D25" s="35" t="str">
        <f>IF(ISBLANK(Table7[[#This Row],[ID]]),"",VLOOKUP(Table7[[#This Row],[ID]],Table1[#All],2,FALSE))</f>
        <v/>
      </c>
      <c r="E25" s="22" t="str">
        <f>IF(ISBLANK(Table7[[#This Row],[ID]]),"",VLOOKUP(Table7[[#This Row],[ID]],Table1[#All],4,FALSE))</f>
        <v/>
      </c>
      <c r="G25" s="48" t="b">
        <f t="shared" si="0"/>
        <v>1</v>
      </c>
      <c r="H25" s="88"/>
    </row>
    <row r="26" spans="2:8" hidden="1" x14ac:dyDescent="0.25">
      <c r="B26" s="83"/>
      <c r="C26" s="48"/>
      <c r="D26" s="35" t="str">
        <f>IF(ISBLANK(Table7[[#This Row],[ID]]),"",VLOOKUP(Table7[[#This Row],[ID]],Table1[#All],2,FALSE))</f>
        <v/>
      </c>
      <c r="E26" s="22" t="str">
        <f>IF(ISBLANK(Table7[[#This Row],[ID]]),"",VLOOKUP(Table7[[#This Row],[ID]],Table1[#All],4,FALSE))</f>
        <v/>
      </c>
      <c r="G26" s="48" t="b">
        <f t="shared" si="0"/>
        <v>1</v>
      </c>
      <c r="H26" s="88"/>
    </row>
    <row r="27" spans="2:8" hidden="1" x14ac:dyDescent="0.25">
      <c r="B27" s="83"/>
      <c r="C27" s="48"/>
      <c r="D27" s="35" t="str">
        <f>IF(ISBLANK(Table7[[#This Row],[ID]]),"",VLOOKUP(Table7[[#This Row],[ID]],Table1[#All],2,FALSE))</f>
        <v/>
      </c>
      <c r="E27" s="22" t="str">
        <f>IF(ISBLANK(Table7[[#This Row],[ID]]),"",VLOOKUP(Table7[[#This Row],[ID]],Table1[#All],4,FALSE))</f>
        <v/>
      </c>
      <c r="G27" s="48" t="b">
        <f t="shared" si="0"/>
        <v>1</v>
      </c>
      <c r="H27" s="88"/>
    </row>
    <row r="28" spans="2:8" hidden="1" x14ac:dyDescent="0.25">
      <c r="B28" s="83"/>
      <c r="C28" s="48"/>
      <c r="D28" s="35" t="str">
        <f>IF(ISBLANK(Table7[[#This Row],[ID]]),"",VLOOKUP(Table7[[#This Row],[ID]],Table1[#All],2,FALSE))</f>
        <v/>
      </c>
      <c r="E28" s="22" t="str">
        <f>IF(ISBLANK(Table7[[#This Row],[ID]]),"",VLOOKUP(Table7[[#This Row],[ID]],Table1[#All],4,FALSE))</f>
        <v/>
      </c>
      <c r="G28" s="48" t="b">
        <f t="shared" si="0"/>
        <v>1</v>
      </c>
      <c r="H28" s="88"/>
    </row>
    <row r="29" spans="2:8" hidden="1" x14ac:dyDescent="0.25">
      <c r="B29" s="83"/>
      <c r="C29" s="48"/>
      <c r="D29" s="35" t="str">
        <f>IF(ISBLANK(Table7[[#This Row],[ID]]),"",VLOOKUP(Table7[[#This Row],[ID]],Table1[#All],2,FALSE))</f>
        <v/>
      </c>
      <c r="E29" s="22" t="str">
        <f>IF(ISBLANK(Table7[[#This Row],[ID]]),"",VLOOKUP(Table7[[#This Row],[ID]],Table1[#All],4,FALSE))</f>
        <v/>
      </c>
      <c r="G29" s="48" t="b">
        <f t="shared" si="0"/>
        <v>1</v>
      </c>
      <c r="H29" s="88"/>
    </row>
    <row r="30" spans="2:8" hidden="1" x14ac:dyDescent="0.25">
      <c r="B30" s="83"/>
      <c r="C30" s="48"/>
      <c r="D30" s="35" t="str">
        <f>IF(ISBLANK(Table7[[#This Row],[ID]]),"",VLOOKUP(Table7[[#This Row],[ID]],Table1[#All],2,FALSE))</f>
        <v/>
      </c>
      <c r="E30" s="22" t="str">
        <f>IF(ISBLANK(Table7[[#This Row],[ID]]),"",VLOOKUP(Table7[[#This Row],[ID]],Table1[#All],4,FALSE))</f>
        <v/>
      </c>
      <c r="G30" s="48" t="b">
        <f t="shared" si="0"/>
        <v>1</v>
      </c>
      <c r="H30" s="88"/>
    </row>
    <row r="31" spans="2:8" hidden="1" x14ac:dyDescent="0.25">
      <c r="B31" s="83"/>
      <c r="C31" s="48"/>
      <c r="D31" s="35" t="str">
        <f>IF(ISBLANK(Table7[[#This Row],[ID]]),"",VLOOKUP(Table7[[#This Row],[ID]],Table1[#All],2,FALSE))</f>
        <v/>
      </c>
      <c r="E31" s="22" t="str">
        <f>IF(ISBLANK(Table7[[#This Row],[ID]]),"",VLOOKUP(Table7[[#This Row],[ID]],Table1[#All],4,FALSE))</f>
        <v/>
      </c>
      <c r="G31" s="48" t="b">
        <f t="shared" si="0"/>
        <v>1</v>
      </c>
      <c r="H31" s="88"/>
    </row>
    <row r="32" spans="2:8" hidden="1" x14ac:dyDescent="0.25">
      <c r="B32" s="83"/>
      <c r="C32" s="48"/>
      <c r="D32" s="35" t="str">
        <f>IF(ISBLANK(Table7[[#This Row],[ID]]),"",VLOOKUP(Table7[[#This Row],[ID]],Table1[#All],2,FALSE))</f>
        <v/>
      </c>
      <c r="E32" s="22" t="str">
        <f>IF(ISBLANK(Table7[[#This Row],[ID]]),"",VLOOKUP(Table7[[#This Row],[ID]],Table1[#All],4,FALSE))</f>
        <v/>
      </c>
      <c r="G32" s="48" t="b">
        <f t="shared" si="0"/>
        <v>1</v>
      </c>
      <c r="H32" s="88"/>
    </row>
    <row r="33" spans="2:8" hidden="1" x14ac:dyDescent="0.25">
      <c r="B33" s="83"/>
      <c r="C33" s="48"/>
      <c r="D33" s="35" t="str">
        <f>IF(ISBLANK(Table7[[#This Row],[ID]]),"",VLOOKUP(Table7[[#This Row],[ID]],Table1[#All],2,FALSE))</f>
        <v/>
      </c>
      <c r="E33" s="22" t="str">
        <f>IF(ISBLANK(Table7[[#This Row],[ID]]),"",VLOOKUP(Table7[[#This Row],[ID]],Table1[#All],4,FALSE))</f>
        <v/>
      </c>
      <c r="G33" s="48" t="b">
        <f t="shared" si="0"/>
        <v>1</v>
      </c>
      <c r="H33" s="88"/>
    </row>
    <row r="34" spans="2:8" hidden="1" x14ac:dyDescent="0.25">
      <c r="B34" s="83"/>
      <c r="C34" s="48"/>
      <c r="D34" s="35" t="str">
        <f>IF(ISBLANK(Table7[[#This Row],[ID]]),"",VLOOKUP(Table7[[#This Row],[ID]],Table1[#All],2,FALSE))</f>
        <v/>
      </c>
      <c r="E34" s="22" t="str">
        <f>IF(ISBLANK(Table7[[#This Row],[ID]]),"",VLOOKUP(Table7[[#This Row],[ID]],Table1[#All],4,FALSE))</f>
        <v/>
      </c>
      <c r="G34" s="48" t="b">
        <f t="shared" si="0"/>
        <v>1</v>
      </c>
      <c r="H34" s="88"/>
    </row>
    <row r="35" spans="2:8" hidden="1" x14ac:dyDescent="0.25">
      <c r="B35" s="83"/>
      <c r="C35" s="48"/>
      <c r="D35" s="35" t="str">
        <f>IF(ISBLANK(Table7[[#This Row],[ID]]),"",VLOOKUP(Table7[[#This Row],[ID]],Table1[#All],2,FALSE))</f>
        <v/>
      </c>
      <c r="E35" s="22" t="str">
        <f>IF(ISBLANK(Table7[[#This Row],[ID]]),"",VLOOKUP(Table7[[#This Row],[ID]],Table1[#All],4,FALSE))</f>
        <v/>
      </c>
      <c r="G35" s="48" t="b">
        <f t="shared" si="0"/>
        <v>1</v>
      </c>
      <c r="H35" s="88"/>
    </row>
    <row r="36" spans="2:8" hidden="1" x14ac:dyDescent="0.25">
      <c r="B36" s="83"/>
      <c r="C36" s="48"/>
      <c r="D36" s="35" t="str">
        <f>IF(ISBLANK(Table7[[#This Row],[ID]]),"",VLOOKUP(Table7[[#This Row],[ID]],Table1[#All],2,FALSE))</f>
        <v/>
      </c>
      <c r="E36" s="22" t="str">
        <f>IF(ISBLANK(Table7[[#This Row],[ID]]),"",VLOOKUP(Table7[[#This Row],[ID]],Table1[#All],4,FALSE))</f>
        <v/>
      </c>
      <c r="G36" s="48" t="b">
        <f t="shared" si="0"/>
        <v>1</v>
      </c>
      <c r="H36" s="88"/>
    </row>
    <row r="37" spans="2:8" hidden="1" x14ac:dyDescent="0.25">
      <c r="B37" s="83"/>
      <c r="C37" s="48"/>
      <c r="D37" s="35" t="str">
        <f>IF(ISBLANK(Table7[[#This Row],[ID]]),"",VLOOKUP(Table7[[#This Row],[ID]],Table1[#All],2,FALSE))</f>
        <v/>
      </c>
      <c r="E37" s="22" t="str">
        <f>IF(ISBLANK(Table7[[#This Row],[ID]]),"",VLOOKUP(Table7[[#This Row],[ID]],Table1[#All],4,FALSE))</f>
        <v/>
      </c>
      <c r="G37" s="48" t="b">
        <f t="shared" si="0"/>
        <v>1</v>
      </c>
      <c r="H37" s="88"/>
    </row>
    <row r="38" spans="2:8" hidden="1" x14ac:dyDescent="0.25">
      <c r="B38" s="83"/>
      <c r="C38" s="48"/>
      <c r="D38" s="35" t="str">
        <f>IF(ISBLANK(Table7[[#This Row],[ID]]),"",VLOOKUP(Table7[[#This Row],[ID]],Table1[#All],2,FALSE))</f>
        <v/>
      </c>
      <c r="E38" s="22" t="str">
        <f>IF(ISBLANK(Table7[[#This Row],[ID]]),"",VLOOKUP(Table7[[#This Row],[ID]],Table1[#All],4,FALSE))</f>
        <v/>
      </c>
      <c r="G38" s="48" t="b">
        <f t="shared" si="0"/>
        <v>1</v>
      </c>
      <c r="H38" s="88"/>
    </row>
    <row r="39" spans="2:8" hidden="1" x14ac:dyDescent="0.25">
      <c r="B39" s="83"/>
      <c r="C39" s="48"/>
      <c r="D39" s="35" t="str">
        <f>IF(ISBLANK(Table7[[#This Row],[ID]]),"",VLOOKUP(Table7[[#This Row],[ID]],Table1[#All],2,FALSE))</f>
        <v/>
      </c>
      <c r="E39" s="22" t="str">
        <f>IF(ISBLANK(Table7[[#This Row],[ID]]),"",VLOOKUP(Table7[[#This Row],[ID]],Table1[#All],4,FALSE))</f>
        <v/>
      </c>
      <c r="G39" s="48" t="b">
        <f t="shared" si="0"/>
        <v>1</v>
      </c>
      <c r="H39" s="88"/>
    </row>
    <row r="40" spans="2:8" hidden="1" x14ac:dyDescent="0.25">
      <c r="B40" s="83"/>
      <c r="C40" s="48"/>
      <c r="D40" s="35" t="str">
        <f>IF(ISBLANK(Table7[[#This Row],[ID]]),"",VLOOKUP(Table7[[#This Row],[ID]],Table1[#All],2,FALSE))</f>
        <v/>
      </c>
      <c r="E40" s="22" t="str">
        <f>IF(ISBLANK(Table7[[#This Row],[ID]]),"",VLOOKUP(Table7[[#This Row],[ID]],Table1[#All],4,FALSE))</f>
        <v/>
      </c>
      <c r="G40" s="48" t="b">
        <f t="shared" si="0"/>
        <v>1</v>
      </c>
      <c r="H40" s="88"/>
    </row>
    <row r="41" spans="2:8" hidden="1" x14ac:dyDescent="0.25">
      <c r="B41" s="83"/>
      <c r="C41" s="48"/>
      <c r="D41" s="35" t="str">
        <f>IF(ISBLANK(Table7[[#This Row],[ID]]),"",VLOOKUP(Table7[[#This Row],[ID]],Table1[#All],2,FALSE))</f>
        <v/>
      </c>
      <c r="E41" s="22" t="str">
        <f>IF(ISBLANK(Table7[[#This Row],[ID]]),"",VLOOKUP(Table7[[#This Row],[ID]],Table1[#All],4,FALSE))</f>
        <v/>
      </c>
      <c r="G41" s="48" t="b">
        <f t="shared" si="0"/>
        <v>1</v>
      </c>
      <c r="H41" s="88"/>
    </row>
    <row r="42" spans="2:8" hidden="1" x14ac:dyDescent="0.25">
      <c r="B42" s="83"/>
      <c r="C42" s="48"/>
      <c r="D42" s="35" t="str">
        <f>IF(ISBLANK(Table7[[#This Row],[ID]]),"",VLOOKUP(Table7[[#This Row],[ID]],Table1[#All],2,FALSE))</f>
        <v/>
      </c>
      <c r="E42" s="22" t="str">
        <f>IF(ISBLANK(Table7[[#This Row],[ID]]),"",VLOOKUP(Table7[[#This Row],[ID]],Table1[#All],4,FALSE))</f>
        <v/>
      </c>
      <c r="G42" s="48" t="b">
        <f t="shared" si="0"/>
        <v>1</v>
      </c>
      <c r="H42" s="88"/>
    </row>
    <row r="43" spans="2:8" hidden="1" x14ac:dyDescent="0.25">
      <c r="B43" s="83"/>
      <c r="C43" s="48"/>
      <c r="D43" s="35" t="str">
        <f>IF(ISBLANK(Table7[[#This Row],[ID]]),"",VLOOKUP(Table7[[#This Row],[ID]],Table1[#All],2,FALSE))</f>
        <v/>
      </c>
      <c r="E43" s="22" t="str">
        <f>IF(ISBLANK(Table7[[#This Row],[ID]]),"",VLOOKUP(Table7[[#This Row],[ID]],Table1[#All],4,FALSE))</f>
        <v/>
      </c>
      <c r="G43" s="48" t="b">
        <f t="shared" si="0"/>
        <v>1</v>
      </c>
      <c r="H43" s="88"/>
    </row>
    <row r="44" spans="2:8" x14ac:dyDescent="0.25">
      <c r="B44" s="83"/>
      <c r="C44" s="86"/>
      <c r="D44" s="86"/>
      <c r="E44" s="89"/>
      <c r="F44" s="86"/>
      <c r="G44" s="80"/>
      <c r="H44" s="81"/>
    </row>
    <row r="45" spans="2:8" x14ac:dyDescent="0.25">
      <c r="B45" s="83"/>
      <c r="C45" s="102" t="s">
        <v>390</v>
      </c>
      <c r="D45" s="103"/>
      <c r="E45" s="92" t="s">
        <v>397</v>
      </c>
      <c r="F45" s="80"/>
      <c r="G45" s="80"/>
      <c r="H45" s="81"/>
    </row>
    <row r="46" spans="2:8" x14ac:dyDescent="0.25">
      <c r="B46" s="83"/>
      <c r="C46" s="87"/>
      <c r="D46" s="87"/>
      <c r="E46" s="90"/>
      <c r="F46" s="87"/>
      <c r="G46" s="80"/>
      <c r="H46" s="81"/>
    </row>
    <row r="47" spans="2:8" x14ac:dyDescent="0.25">
      <c r="B47" s="69"/>
      <c r="C47" s="70"/>
      <c r="D47" s="70"/>
      <c r="E47" s="70"/>
      <c r="F47" s="70"/>
      <c r="G47" s="70"/>
      <c r="H47" s="71"/>
    </row>
    <row r="48" spans="2:8" x14ac:dyDescent="0.25">
      <c r="B48" s="72"/>
      <c r="C48" s="73"/>
      <c r="D48" s="73"/>
      <c r="E48" s="73"/>
      <c r="F48" s="73"/>
      <c r="G48" s="73"/>
      <c r="H48" s="74"/>
    </row>
    <row r="49" spans="2:8" x14ac:dyDescent="0.25">
      <c r="B49" s="75"/>
      <c r="C49" s="76"/>
      <c r="D49" s="76"/>
      <c r="E49" s="76"/>
      <c r="F49" s="76"/>
      <c r="G49" s="76"/>
      <c r="H49" s="77"/>
    </row>
  </sheetData>
  <mergeCells count="2">
    <mergeCell ref="C45:D45"/>
    <mergeCell ref="B7:F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OForm">
                <anchor moveWithCells="1" sizeWithCells="1">
                  <from>
                    <xdr:col>4</xdr:col>
                    <xdr:colOff>1724025</xdr:colOff>
                    <xdr:row>46</xdr:row>
                    <xdr:rowOff>123825</xdr:rowOff>
                  </from>
                  <to>
                    <xdr:col>5</xdr:col>
                    <xdr:colOff>1419225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learPO">
                <anchor moveWithCells="1" sizeWithCells="1">
                  <from>
                    <xdr:col>3</xdr:col>
                    <xdr:colOff>1400175</xdr:colOff>
                    <xdr:row>46</xdr:row>
                    <xdr:rowOff>123825</xdr:rowOff>
                  </from>
                  <to>
                    <xdr:col>4</xdr:col>
                    <xdr:colOff>1276350</xdr:colOff>
                    <xdr:row>48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69114E-2674-4933-B82E-F87E945F0883}">
          <x14:formula1>
            <xm:f>'Customer Database'!$A$2:$A$31</xm:f>
          </x14:formula1>
          <xm:sqref>E9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2A1F-A282-4BCD-AD8D-5C31FB0219F5}">
  <sheetPr codeName="Sheet5">
    <pageSetUpPr fitToPage="1"/>
  </sheetPr>
  <dimension ref="B2:J50"/>
  <sheetViews>
    <sheetView showGridLines="0" zoomScale="90" zoomScaleNormal="90" workbookViewId="0">
      <selection activeCell="M42" sqref="M42"/>
    </sheetView>
  </sheetViews>
  <sheetFormatPr defaultRowHeight="15" x14ac:dyDescent="0.25"/>
  <cols>
    <col min="1" max="1" width="9.140625" customWidth="1"/>
    <col min="2" max="2" width="10.42578125" customWidth="1"/>
    <col min="3" max="3" width="35.28515625" customWidth="1"/>
    <col min="4" max="4" width="44.85546875" customWidth="1"/>
    <col min="5" max="5" width="25.28515625" bestFit="1" customWidth="1"/>
    <col min="6" max="6" width="14.42578125" bestFit="1" customWidth="1"/>
    <col min="7" max="7" width="17.140625" bestFit="1" customWidth="1"/>
    <col min="8" max="8" width="21" customWidth="1"/>
    <col min="9" max="9" width="19.5703125" hidden="1" customWidth="1"/>
  </cols>
  <sheetData>
    <row r="2" spans="2:10" ht="44.25" customHeight="1" x14ac:dyDescent="0.25">
      <c r="B2" s="106" t="s">
        <v>0</v>
      </c>
      <c r="C2" s="107"/>
      <c r="D2" s="107"/>
      <c r="E2" s="96"/>
      <c r="F2" s="56"/>
      <c r="G2" s="108" t="s">
        <v>1</v>
      </c>
      <c r="H2" s="108"/>
      <c r="I2" s="57"/>
      <c r="J2" s="58"/>
    </row>
    <row r="3" spans="2:10" ht="15.75" thickBot="1" x14ac:dyDescent="0.3">
      <c r="B3" s="48"/>
      <c r="C3" s="97"/>
      <c r="D3" s="39"/>
      <c r="E3" s="39"/>
      <c r="J3" s="17"/>
    </row>
    <row r="4" spans="2:10" ht="15.75" thickTop="1" x14ac:dyDescent="0.25">
      <c r="B4" s="48"/>
      <c r="C4" s="4" t="s">
        <v>6</v>
      </c>
      <c r="D4" s="5" t="s">
        <v>10</v>
      </c>
      <c r="F4" s="10" t="s">
        <v>2</v>
      </c>
      <c r="G4" s="100">
        <v>3</v>
      </c>
      <c r="J4" s="17"/>
    </row>
    <row r="5" spans="2:10" x14ac:dyDescent="0.25">
      <c r="B5" s="48"/>
      <c r="C5" s="2" t="s">
        <v>0</v>
      </c>
      <c r="D5" s="43" t="s">
        <v>248</v>
      </c>
      <c r="F5" s="11" t="s">
        <v>3</v>
      </c>
      <c r="G5" s="93" t="s">
        <v>398</v>
      </c>
      <c r="J5" s="17"/>
    </row>
    <row r="6" spans="2:10" x14ac:dyDescent="0.25">
      <c r="B6" s="48"/>
      <c r="C6" s="2" t="s">
        <v>7</v>
      </c>
      <c r="D6" s="44" t="str">
        <f>IF($D$5 = "","",VLOOKUP($D$5,'Customer Database'!A:G,2,FALSE))</f>
        <v>300 Oak Avenue</v>
      </c>
      <c r="F6" s="11" t="s">
        <v>4</v>
      </c>
      <c r="G6" s="8">
        <v>45439</v>
      </c>
      <c r="J6" s="17"/>
    </row>
    <row r="7" spans="2:10" ht="15.75" thickBot="1" x14ac:dyDescent="0.3">
      <c r="B7" s="48"/>
      <c r="C7" s="2" t="s">
        <v>8</v>
      </c>
      <c r="D7" s="44" t="str">
        <f>IF($D$5 = "","",VLOOKUP($D$5,'Customer Database'!A:G,3,FALSE))</f>
        <v>Springfield, IL 62701</v>
      </c>
      <c r="F7" s="12" t="s">
        <v>5</v>
      </c>
      <c r="G7" s="28">
        <f>IF(ISBLANK(G6),"",G6+30)</f>
        <v>45469</v>
      </c>
      <c r="J7" s="17"/>
    </row>
    <row r="8" spans="2:10" ht="15.75" thickBot="1" x14ac:dyDescent="0.3">
      <c r="B8" s="48"/>
      <c r="C8" s="3" t="s">
        <v>395</v>
      </c>
      <c r="D8" s="99" t="str">
        <f>IF($D$5 = "","",VLOOKUP($D$5,'Customer Database'!A:G,4,FALSE))</f>
        <v>sarah.doe@abc.com</v>
      </c>
      <c r="J8" s="17"/>
    </row>
    <row r="9" spans="2:10" ht="16.5" thickTop="1" thickBot="1" x14ac:dyDescent="0.3">
      <c r="B9" s="48"/>
      <c r="J9" s="17"/>
    </row>
    <row r="10" spans="2:10" ht="15.75" thickTop="1" x14ac:dyDescent="0.25">
      <c r="B10" s="48"/>
      <c r="C10" s="59" t="s">
        <v>11</v>
      </c>
      <c r="D10" s="13" t="s">
        <v>12</v>
      </c>
      <c r="E10" s="13" t="s">
        <v>13</v>
      </c>
      <c r="F10" s="13" t="s">
        <v>14</v>
      </c>
      <c r="G10" s="13" t="s">
        <v>15</v>
      </c>
      <c r="H10" s="24" t="s">
        <v>16</v>
      </c>
      <c r="I10" s="51" t="s">
        <v>380</v>
      </c>
      <c r="J10" s="17"/>
    </row>
    <row r="11" spans="2:10" ht="45" x14ac:dyDescent="0.25">
      <c r="B11" s="48"/>
      <c r="C11" s="60" t="s">
        <v>43</v>
      </c>
      <c r="D11" s="14" t="str">
        <f>IF(C11="","",VLOOKUP(C11,Table1[[#All],[Product Name]:[Product Price]],2,FALSE))</f>
        <v>Premium oil filter designed to trap harmful contaminants and keep your engine running smoothly.</v>
      </c>
      <c r="E11" s="1">
        <v>1</v>
      </c>
      <c r="F11" s="15">
        <f>IF(Table47[[#This Row],[Product]]="","",VLOOKUP(Table47[[#This Row],[Product]],Table1[[#All],[Product Name]:[Product Price]],3,FALSE))</f>
        <v>9.99</v>
      </c>
      <c r="G11" s="15">
        <f t="shared" ref="G11:G40" si="0">IF(F11="","",F11*E11*0.2)</f>
        <v>1.9980000000000002</v>
      </c>
      <c r="H11" s="25">
        <f t="shared" ref="H11:H40" si="1">IF(F11="","",F11*E11)</f>
        <v>9.99</v>
      </c>
      <c r="I11" t="b">
        <f>IF(C10="",TRUE,FALSE)</f>
        <v>0</v>
      </c>
      <c r="J11" s="17"/>
    </row>
    <row r="12" spans="2:10" ht="15.75" thickBot="1" x14ac:dyDescent="0.3">
      <c r="B12" s="48"/>
      <c r="C12" s="60"/>
      <c r="D12" s="14" t="str">
        <f>IF(C12="","",VLOOKUP(C12,Table1[[#All],[Product Name]:[Product Price]],2,FALSE))</f>
        <v/>
      </c>
      <c r="E12" s="47"/>
      <c r="F12" s="15" t="str">
        <f>IF(Table47[[#This Row],[Product]]="","",VLOOKUP(Table47[[#This Row],[Product]],Table1[[#All],[Product Name]:[Product Price]],3,FALSE))</f>
        <v/>
      </c>
      <c r="G12" s="15" t="str">
        <f t="shared" si="0"/>
        <v/>
      </c>
      <c r="H12" s="25" t="str">
        <f t="shared" si="1"/>
        <v/>
      </c>
      <c r="I12" t="b">
        <f t="shared" ref="I11:I40" si="2">IF(C11="",TRUE,FALSE)</f>
        <v>0</v>
      </c>
      <c r="J12" s="17"/>
    </row>
    <row r="13" spans="2:10" ht="15.75" hidden="1" thickBot="1" x14ac:dyDescent="0.3">
      <c r="B13" s="48"/>
      <c r="C13" s="98"/>
      <c r="D13" s="14" t="str">
        <f>IF(C13="","",VLOOKUP(C13,Table1[[#All],[Product Name]:[Product Price]],2,FALSE))</f>
        <v/>
      </c>
      <c r="E13" s="47"/>
      <c r="F13" s="15" t="str">
        <f>IF(Table47[[#This Row],[Product]]="","",VLOOKUP(Table47[[#This Row],[Product]],Table1[[#All],[Product Name]:[Product Price]],3,FALSE))</f>
        <v/>
      </c>
      <c r="G13" s="15" t="str">
        <f t="shared" si="0"/>
        <v/>
      </c>
      <c r="H13" s="25" t="str">
        <f t="shared" si="1"/>
        <v/>
      </c>
      <c r="I13" t="b">
        <f t="shared" si="2"/>
        <v>1</v>
      </c>
      <c r="J13" s="17"/>
    </row>
    <row r="14" spans="2:10" ht="15.75" hidden="1" thickBot="1" x14ac:dyDescent="0.3">
      <c r="B14" s="48"/>
      <c r="C14" s="98"/>
      <c r="D14" s="14" t="str">
        <f>IF(C14="","",VLOOKUP(C14,Table1[[#All],[Product Name]:[Product Price]],2,FALSE))</f>
        <v/>
      </c>
      <c r="E14" s="47"/>
      <c r="F14" s="15" t="str">
        <f>IF(Table47[[#This Row],[Product]]="","",VLOOKUP(Table47[[#This Row],[Product]],Table1[[#All],[Product Name]:[Product Price]],3,FALSE))</f>
        <v/>
      </c>
      <c r="G14" s="15" t="str">
        <f t="shared" si="0"/>
        <v/>
      </c>
      <c r="H14" s="25" t="str">
        <f t="shared" si="1"/>
        <v/>
      </c>
      <c r="I14" t="b">
        <f t="shared" si="2"/>
        <v>1</v>
      </c>
      <c r="J14" s="17"/>
    </row>
    <row r="15" spans="2:10" ht="47.25" hidden="1" customHeight="1" x14ac:dyDescent="0.3">
      <c r="B15" s="48"/>
      <c r="C15" s="60"/>
      <c r="D15" s="14" t="str">
        <f>IF(C15="","",VLOOKUP(C15,Table1[[#All],[Product Name]:[Product Price]],2,FALSE))</f>
        <v/>
      </c>
      <c r="E15" s="47"/>
      <c r="F15" s="15" t="str">
        <f>IF(Table47[[#This Row],[Product]]="","",VLOOKUP(Table47[[#This Row],[Product]],Table1[[#All],[Product Name]:[Product Price]],3,FALSE))</f>
        <v/>
      </c>
      <c r="G15" s="15" t="str">
        <f t="shared" si="0"/>
        <v/>
      </c>
      <c r="H15" s="25" t="str">
        <f t="shared" si="1"/>
        <v/>
      </c>
      <c r="I15" t="b">
        <f t="shared" si="2"/>
        <v>1</v>
      </c>
      <c r="J15" s="17"/>
    </row>
    <row r="16" spans="2:10" ht="15.75" hidden="1" thickBot="1" x14ac:dyDescent="0.3">
      <c r="B16" s="48"/>
      <c r="C16" s="60"/>
      <c r="D16" s="14" t="str">
        <f>IF(C16="","",VLOOKUP(C16,Table1[[#All],[Product Name]:[Product Price]],2,FALSE))</f>
        <v/>
      </c>
      <c r="E16" s="47"/>
      <c r="F16" s="15" t="str">
        <f>IF(Table47[[#This Row],[Product]]="","",VLOOKUP(Table47[[#This Row],[Product]],Table1[[#All],[Product Name]:[Product Price]],3,FALSE))</f>
        <v/>
      </c>
      <c r="G16" s="15" t="str">
        <f t="shared" si="0"/>
        <v/>
      </c>
      <c r="H16" s="25" t="str">
        <f t="shared" si="1"/>
        <v/>
      </c>
      <c r="I16" t="b">
        <f t="shared" si="2"/>
        <v>1</v>
      </c>
      <c r="J16" s="17"/>
    </row>
    <row r="17" spans="2:10" ht="15.75" hidden="1" thickBot="1" x14ac:dyDescent="0.3">
      <c r="B17" s="48"/>
      <c r="C17" s="60"/>
      <c r="D17" s="14" t="str">
        <f>IF(C17="","",VLOOKUP(C17,Table1[[#All],[Product Name]:[Product Price]],2,FALSE))</f>
        <v/>
      </c>
      <c r="E17" s="47"/>
      <c r="F17" s="15" t="str">
        <f>IF(Table47[[#This Row],[Product]]="","",VLOOKUP(Table47[[#This Row],[Product]],Table1[[#All],[Product Name]:[Product Price]],3,FALSE))</f>
        <v/>
      </c>
      <c r="G17" s="15" t="str">
        <f t="shared" si="0"/>
        <v/>
      </c>
      <c r="H17" s="25" t="str">
        <f t="shared" si="1"/>
        <v/>
      </c>
      <c r="I17" t="b">
        <f t="shared" si="2"/>
        <v>1</v>
      </c>
      <c r="J17" s="17"/>
    </row>
    <row r="18" spans="2:10" ht="15.75" hidden="1" thickBot="1" x14ac:dyDescent="0.3">
      <c r="B18" s="48"/>
      <c r="C18" s="60"/>
      <c r="D18" s="14" t="str">
        <f>IF(C18="","",VLOOKUP(C18,Table1[[#All],[Product Name]:[Product Price]],2,FALSE))</f>
        <v/>
      </c>
      <c r="E18" s="47"/>
      <c r="F18" s="15" t="str">
        <f>IF(Table47[[#This Row],[Product]]="","",VLOOKUP(Table47[[#This Row],[Product]],Table1[[#All],[Product Name]:[Product Price]],3,FALSE))</f>
        <v/>
      </c>
      <c r="G18" s="15" t="str">
        <f t="shared" si="0"/>
        <v/>
      </c>
      <c r="H18" s="25" t="str">
        <f t="shared" si="1"/>
        <v/>
      </c>
      <c r="I18" t="b">
        <f t="shared" si="2"/>
        <v>1</v>
      </c>
      <c r="J18" s="17"/>
    </row>
    <row r="19" spans="2:10" ht="15.75" hidden="1" thickBot="1" x14ac:dyDescent="0.3">
      <c r="B19" s="48"/>
      <c r="C19" s="60"/>
      <c r="D19" s="14" t="str">
        <f>IF(C19="","",VLOOKUP(C19,Table1[[#All],[Product Name]:[Product Price]],2,FALSE))</f>
        <v/>
      </c>
      <c r="E19" s="47"/>
      <c r="F19" s="15" t="str">
        <f>IF(Table47[[#This Row],[Product]]="","",VLOOKUP(Table47[[#This Row],[Product]],Table1[[#All],[Product Name]:[Product Price]],3,FALSE))</f>
        <v/>
      </c>
      <c r="G19" s="15" t="str">
        <f t="shared" si="0"/>
        <v/>
      </c>
      <c r="H19" s="25" t="str">
        <f t="shared" si="1"/>
        <v/>
      </c>
      <c r="I19" t="b">
        <f t="shared" si="2"/>
        <v>1</v>
      </c>
      <c r="J19" s="17"/>
    </row>
    <row r="20" spans="2:10" ht="15.75" hidden="1" thickBot="1" x14ac:dyDescent="0.3">
      <c r="B20" s="48"/>
      <c r="C20" s="60"/>
      <c r="D20" s="14" t="str">
        <f>IF(C20="","",VLOOKUP(C20,Table1[[#All],[Product Name]:[Product Price]],2,FALSE))</f>
        <v/>
      </c>
      <c r="E20" s="47"/>
      <c r="F20" s="15" t="str">
        <f>IF(Table47[[#This Row],[Product]]="","",VLOOKUP(Table47[[#This Row],[Product]],Table1[[#All],[Product Name]:[Product Price]],3,FALSE))</f>
        <v/>
      </c>
      <c r="G20" s="15" t="str">
        <f t="shared" si="0"/>
        <v/>
      </c>
      <c r="H20" s="25" t="str">
        <f t="shared" si="1"/>
        <v/>
      </c>
      <c r="I20" t="b">
        <f t="shared" si="2"/>
        <v>1</v>
      </c>
      <c r="J20" s="17"/>
    </row>
    <row r="21" spans="2:10" ht="15.75" hidden="1" thickBot="1" x14ac:dyDescent="0.3">
      <c r="B21" s="48"/>
      <c r="C21" s="60"/>
      <c r="D21" s="14" t="str">
        <f>IF(C21="","",VLOOKUP(C21,Table1[[#All],[Product Name]:[Product Price]],2,FALSE))</f>
        <v/>
      </c>
      <c r="E21" s="47"/>
      <c r="F21" s="15" t="str">
        <f>IF(Table47[[#This Row],[Product]]="","",VLOOKUP(Table47[[#This Row],[Product]],Table1[[#All],[Product Name]:[Product Price]],3,FALSE))</f>
        <v/>
      </c>
      <c r="G21" s="15" t="str">
        <f t="shared" si="0"/>
        <v/>
      </c>
      <c r="H21" s="25" t="str">
        <f t="shared" si="1"/>
        <v/>
      </c>
      <c r="I21" t="b">
        <f t="shared" si="2"/>
        <v>1</v>
      </c>
      <c r="J21" s="17"/>
    </row>
    <row r="22" spans="2:10" ht="15.75" hidden="1" thickBot="1" x14ac:dyDescent="0.3">
      <c r="B22" s="48"/>
      <c r="C22" s="60"/>
      <c r="D22" s="14" t="str">
        <f>IF(C22="","",VLOOKUP(C22,Table1[[#All],[Product Name]:[Product Price]],2,FALSE))</f>
        <v/>
      </c>
      <c r="E22" s="47"/>
      <c r="F22" s="15" t="str">
        <f>IF(Table47[[#This Row],[Product]]="","",VLOOKUP(Table47[[#This Row],[Product]],Table1[[#All],[Product Name]:[Product Price]],3,FALSE))</f>
        <v/>
      </c>
      <c r="G22" s="15" t="str">
        <f t="shared" si="0"/>
        <v/>
      </c>
      <c r="H22" s="25" t="str">
        <f t="shared" si="1"/>
        <v/>
      </c>
      <c r="I22" t="b">
        <f t="shared" si="2"/>
        <v>1</v>
      </c>
      <c r="J22" s="17"/>
    </row>
    <row r="23" spans="2:10" ht="15.75" hidden="1" thickBot="1" x14ac:dyDescent="0.3">
      <c r="B23" s="48"/>
      <c r="C23" s="60"/>
      <c r="D23" s="14" t="str">
        <f>IF(C23="","",VLOOKUP(C23,Table1[[#All],[Product Name]:[Product Price]],2,FALSE))</f>
        <v/>
      </c>
      <c r="E23" s="47"/>
      <c r="F23" s="15" t="str">
        <f>IF(Table47[[#This Row],[Product]]="","",VLOOKUP(Table47[[#This Row],[Product]],Table1[[#All],[Product Name]:[Product Price]],3,FALSE))</f>
        <v/>
      </c>
      <c r="G23" s="15" t="str">
        <f t="shared" si="0"/>
        <v/>
      </c>
      <c r="H23" s="25" t="str">
        <f t="shared" si="1"/>
        <v/>
      </c>
      <c r="I23" t="b">
        <f t="shared" si="2"/>
        <v>1</v>
      </c>
      <c r="J23" s="17"/>
    </row>
    <row r="24" spans="2:10" ht="15.75" hidden="1" thickBot="1" x14ac:dyDescent="0.3">
      <c r="B24" s="48"/>
      <c r="C24" s="60"/>
      <c r="D24" s="14" t="str">
        <f>IF(C24="","",VLOOKUP(C24,Table1[[#All],[Product Name]:[Product Price]],2,FALSE))</f>
        <v/>
      </c>
      <c r="E24" s="47"/>
      <c r="F24" s="15" t="str">
        <f>IF(Table47[[#This Row],[Product]]="","",VLOOKUP(Table47[[#This Row],[Product]],Table1[[#All],[Product Name]:[Product Price]],3,FALSE))</f>
        <v/>
      </c>
      <c r="G24" s="15" t="str">
        <f t="shared" si="0"/>
        <v/>
      </c>
      <c r="H24" s="25" t="str">
        <f t="shared" si="1"/>
        <v/>
      </c>
      <c r="I24" t="b">
        <f t="shared" si="2"/>
        <v>1</v>
      </c>
      <c r="J24" s="17"/>
    </row>
    <row r="25" spans="2:10" ht="15.75" hidden="1" thickBot="1" x14ac:dyDescent="0.3">
      <c r="B25" s="48"/>
      <c r="C25" s="60"/>
      <c r="D25" s="14" t="str">
        <f>IF(C25="","",VLOOKUP(C25,Table1[[#All],[Product Name]:[Product Price]],2,FALSE))</f>
        <v/>
      </c>
      <c r="E25" s="47"/>
      <c r="F25" s="15" t="str">
        <f>IF(Table47[[#This Row],[Product]]="","",VLOOKUP(Table47[[#This Row],[Product]],Table1[[#All],[Product Name]:[Product Price]],3,FALSE))</f>
        <v/>
      </c>
      <c r="G25" s="15" t="str">
        <f t="shared" si="0"/>
        <v/>
      </c>
      <c r="H25" s="25" t="str">
        <f t="shared" si="1"/>
        <v/>
      </c>
      <c r="I25" t="b">
        <f t="shared" si="2"/>
        <v>1</v>
      </c>
      <c r="J25" s="17"/>
    </row>
    <row r="26" spans="2:10" ht="15.75" hidden="1" thickBot="1" x14ac:dyDescent="0.3">
      <c r="B26" s="48"/>
      <c r="C26" s="60"/>
      <c r="D26" s="14" t="str">
        <f>IF(C26="","",VLOOKUP(C26,Table1[[#All],[Product Name]:[Product Price]],2,FALSE))</f>
        <v/>
      </c>
      <c r="E26" s="47"/>
      <c r="F26" s="15" t="str">
        <f>IF(Table47[[#This Row],[Product]]="","",VLOOKUP(Table47[[#This Row],[Product]],Table1[[#All],[Product Name]:[Product Price]],3,FALSE))</f>
        <v/>
      </c>
      <c r="G26" s="15" t="str">
        <f t="shared" si="0"/>
        <v/>
      </c>
      <c r="H26" s="25" t="str">
        <f t="shared" si="1"/>
        <v/>
      </c>
      <c r="I26" t="b">
        <f t="shared" si="2"/>
        <v>1</v>
      </c>
      <c r="J26" s="17"/>
    </row>
    <row r="27" spans="2:10" ht="15.75" hidden="1" thickBot="1" x14ac:dyDescent="0.3">
      <c r="B27" s="48"/>
      <c r="C27" s="60"/>
      <c r="D27" s="14" t="str">
        <f>IF(C27="","",VLOOKUP(C27,Table1[[#All],[Product Name]:[Product Price]],2,FALSE))</f>
        <v/>
      </c>
      <c r="E27" s="47"/>
      <c r="F27" s="15" t="str">
        <f>IF(Table47[[#This Row],[Product]]="","",VLOOKUP(Table47[[#This Row],[Product]],Table1[[#All],[Product Name]:[Product Price]],3,FALSE))</f>
        <v/>
      </c>
      <c r="G27" s="15" t="str">
        <f t="shared" si="0"/>
        <v/>
      </c>
      <c r="H27" s="25" t="str">
        <f t="shared" si="1"/>
        <v/>
      </c>
      <c r="I27" t="b">
        <f t="shared" si="2"/>
        <v>1</v>
      </c>
      <c r="J27" s="17"/>
    </row>
    <row r="28" spans="2:10" ht="15.75" hidden="1" thickBot="1" x14ac:dyDescent="0.3">
      <c r="B28" s="48"/>
      <c r="C28" s="60"/>
      <c r="D28" s="14" t="str">
        <f>IF(C28="","",VLOOKUP(C28,Table1[[#All],[Product Name]:[Product Price]],2,FALSE))</f>
        <v/>
      </c>
      <c r="E28" s="47"/>
      <c r="F28" s="15" t="str">
        <f>IF(Table47[[#This Row],[Product]]="","",VLOOKUP(Table47[[#This Row],[Product]],Table1[[#All],[Product Name]:[Product Price]],3,FALSE))</f>
        <v/>
      </c>
      <c r="G28" s="15" t="str">
        <f t="shared" si="0"/>
        <v/>
      </c>
      <c r="H28" s="25" t="str">
        <f t="shared" si="1"/>
        <v/>
      </c>
      <c r="I28" t="b">
        <f t="shared" si="2"/>
        <v>1</v>
      </c>
      <c r="J28" s="17"/>
    </row>
    <row r="29" spans="2:10" ht="15.75" hidden="1" thickBot="1" x14ac:dyDescent="0.3">
      <c r="B29" s="48"/>
      <c r="C29" s="60"/>
      <c r="D29" s="14" t="str">
        <f>IF(C29="","",VLOOKUP(C29,Table1[[#All],[Product Name]:[Product Price]],2,FALSE))</f>
        <v/>
      </c>
      <c r="E29" s="47"/>
      <c r="F29" s="15" t="str">
        <f>IF(Table47[[#This Row],[Product]]="","",VLOOKUP(Table47[[#This Row],[Product]],Table1[[#All],[Product Name]:[Product Price]],3,FALSE))</f>
        <v/>
      </c>
      <c r="G29" s="15" t="str">
        <f t="shared" si="0"/>
        <v/>
      </c>
      <c r="H29" s="25" t="str">
        <f t="shared" si="1"/>
        <v/>
      </c>
      <c r="I29" t="b">
        <f t="shared" si="2"/>
        <v>1</v>
      </c>
      <c r="J29" s="17"/>
    </row>
    <row r="30" spans="2:10" ht="15.75" hidden="1" thickBot="1" x14ac:dyDescent="0.3">
      <c r="B30" s="48"/>
      <c r="C30" s="60"/>
      <c r="D30" s="14" t="str">
        <f>IF(C30="","",VLOOKUP(C30,Table1[[#All],[Product Name]:[Product Price]],2,FALSE))</f>
        <v/>
      </c>
      <c r="E30" s="47"/>
      <c r="F30" s="15" t="str">
        <f>IF(Table47[[#This Row],[Product]]="","",VLOOKUP(Table47[[#This Row],[Product]],Table1[[#All],[Product Name]:[Product Price]],3,FALSE))</f>
        <v/>
      </c>
      <c r="G30" s="15" t="str">
        <f t="shared" si="0"/>
        <v/>
      </c>
      <c r="H30" s="25" t="str">
        <f t="shared" si="1"/>
        <v/>
      </c>
      <c r="I30" t="b">
        <f t="shared" si="2"/>
        <v>1</v>
      </c>
      <c r="J30" s="17"/>
    </row>
    <row r="31" spans="2:10" ht="15.75" hidden="1" thickBot="1" x14ac:dyDescent="0.3">
      <c r="B31" s="48"/>
      <c r="C31" s="60"/>
      <c r="D31" s="14" t="str">
        <f>IF(C31="","",VLOOKUP(C31,Table1[[#All],[Product Name]:[Product Price]],2,FALSE))</f>
        <v/>
      </c>
      <c r="E31" s="47"/>
      <c r="F31" s="15" t="str">
        <f>IF(Table47[[#This Row],[Product]]="","",VLOOKUP(Table47[[#This Row],[Product]],Table1[[#All],[Product Name]:[Product Price]],3,FALSE))</f>
        <v/>
      </c>
      <c r="G31" s="15" t="str">
        <f t="shared" si="0"/>
        <v/>
      </c>
      <c r="H31" s="25" t="str">
        <f t="shared" si="1"/>
        <v/>
      </c>
      <c r="I31" t="b">
        <f t="shared" si="2"/>
        <v>1</v>
      </c>
      <c r="J31" s="17"/>
    </row>
    <row r="32" spans="2:10" ht="15.75" hidden="1" thickBot="1" x14ac:dyDescent="0.3">
      <c r="B32" s="48"/>
      <c r="C32" s="60"/>
      <c r="D32" s="14" t="str">
        <f>IF(C32="","",VLOOKUP(C32,Table1[[#All],[Product Name]:[Product Price]],2,FALSE))</f>
        <v/>
      </c>
      <c r="E32" s="47"/>
      <c r="F32" s="15" t="str">
        <f>IF(Table47[[#This Row],[Product]]="","",VLOOKUP(Table47[[#This Row],[Product]],Table1[[#All],[Product Name]:[Product Price]],3,FALSE))</f>
        <v/>
      </c>
      <c r="G32" s="15" t="str">
        <f t="shared" si="0"/>
        <v/>
      </c>
      <c r="H32" s="25" t="str">
        <f t="shared" si="1"/>
        <v/>
      </c>
      <c r="I32" t="b">
        <f t="shared" si="2"/>
        <v>1</v>
      </c>
      <c r="J32" s="17"/>
    </row>
    <row r="33" spans="2:10" ht="15.75" hidden="1" thickBot="1" x14ac:dyDescent="0.3">
      <c r="B33" s="48"/>
      <c r="C33" s="60"/>
      <c r="D33" s="14" t="str">
        <f>IF(C33="","",VLOOKUP(C33,Table1[[#All],[Product Name]:[Product Price]],2,FALSE))</f>
        <v/>
      </c>
      <c r="E33" s="47"/>
      <c r="F33" s="15" t="str">
        <f>IF(Table47[[#This Row],[Product]]="","",VLOOKUP(Table47[[#This Row],[Product]],Table1[[#All],[Product Name]:[Product Price]],3,FALSE))</f>
        <v/>
      </c>
      <c r="G33" s="15" t="str">
        <f t="shared" si="0"/>
        <v/>
      </c>
      <c r="H33" s="25" t="str">
        <f t="shared" si="1"/>
        <v/>
      </c>
      <c r="I33" t="b">
        <f t="shared" si="2"/>
        <v>1</v>
      </c>
      <c r="J33" s="17"/>
    </row>
    <row r="34" spans="2:10" ht="15.75" hidden="1" thickBot="1" x14ac:dyDescent="0.3">
      <c r="B34" s="48"/>
      <c r="C34" s="60"/>
      <c r="D34" s="14" t="str">
        <f>IF(C34="","",VLOOKUP(C34,Table1[[#All],[Product Name]:[Product Price]],2,FALSE))</f>
        <v/>
      </c>
      <c r="E34" s="47"/>
      <c r="F34" s="15" t="str">
        <f>IF(Table47[[#This Row],[Product]]="","",VLOOKUP(Table47[[#This Row],[Product]],Table1[[#All],[Product Name]:[Product Price]],3,FALSE))</f>
        <v/>
      </c>
      <c r="G34" s="15" t="str">
        <f t="shared" si="0"/>
        <v/>
      </c>
      <c r="H34" s="25" t="str">
        <f t="shared" si="1"/>
        <v/>
      </c>
      <c r="I34" t="b">
        <f t="shared" si="2"/>
        <v>1</v>
      </c>
      <c r="J34" s="17"/>
    </row>
    <row r="35" spans="2:10" ht="15.75" hidden="1" thickBot="1" x14ac:dyDescent="0.3">
      <c r="B35" s="48"/>
      <c r="C35" s="60"/>
      <c r="D35" s="14" t="str">
        <f>IF(C35="","",VLOOKUP(C35,Table1[[#All],[Product Name]:[Product Price]],2,FALSE))</f>
        <v/>
      </c>
      <c r="E35" s="47"/>
      <c r="F35" s="15" t="str">
        <f>IF(Table47[[#This Row],[Product]]="","",VLOOKUP(Table47[[#This Row],[Product]],Table1[[#All],[Product Name]:[Product Price]],3,FALSE))</f>
        <v/>
      </c>
      <c r="G35" s="15" t="str">
        <f t="shared" si="0"/>
        <v/>
      </c>
      <c r="H35" s="25" t="str">
        <f t="shared" si="1"/>
        <v/>
      </c>
      <c r="I35" t="b">
        <f t="shared" si="2"/>
        <v>1</v>
      </c>
      <c r="J35" s="17"/>
    </row>
    <row r="36" spans="2:10" ht="15.75" hidden="1" thickBot="1" x14ac:dyDescent="0.3">
      <c r="B36" s="48"/>
      <c r="C36" s="60"/>
      <c r="D36" s="14" t="str">
        <f>IF(C36="","",VLOOKUP(C36,Table1[[#All],[Product Name]:[Product Price]],2,FALSE))</f>
        <v/>
      </c>
      <c r="E36" s="47"/>
      <c r="F36" s="15" t="str">
        <f>IF(Table47[[#This Row],[Product]]="","",VLOOKUP(Table47[[#This Row],[Product]],Table1[[#All],[Product Name]:[Product Price]],3,FALSE))</f>
        <v/>
      </c>
      <c r="G36" s="15" t="str">
        <f t="shared" si="0"/>
        <v/>
      </c>
      <c r="H36" s="25" t="str">
        <f t="shared" si="1"/>
        <v/>
      </c>
      <c r="I36" t="b">
        <f t="shared" si="2"/>
        <v>1</v>
      </c>
      <c r="J36" s="17"/>
    </row>
    <row r="37" spans="2:10" ht="15.75" hidden="1" thickBot="1" x14ac:dyDescent="0.3">
      <c r="B37" s="48"/>
      <c r="C37" s="60"/>
      <c r="D37" s="14" t="str">
        <f>IF(C37="","",VLOOKUP(C37,Table1[[#All],[Product Name]:[Product Price]],2,FALSE))</f>
        <v/>
      </c>
      <c r="E37" s="47"/>
      <c r="F37" s="15" t="str">
        <f>IF(Table47[[#This Row],[Product]]="","",VLOOKUP(Table47[[#This Row],[Product]],Table1[[#All],[Product Name]:[Product Price]],3,FALSE))</f>
        <v/>
      </c>
      <c r="G37" s="15" t="str">
        <f t="shared" si="0"/>
        <v/>
      </c>
      <c r="H37" s="25" t="str">
        <f t="shared" si="1"/>
        <v/>
      </c>
      <c r="I37" t="b">
        <f t="shared" si="2"/>
        <v>1</v>
      </c>
      <c r="J37" s="17"/>
    </row>
    <row r="38" spans="2:10" ht="15.75" hidden="1" thickBot="1" x14ac:dyDescent="0.3">
      <c r="B38" s="48"/>
      <c r="C38" s="60"/>
      <c r="D38" s="14" t="str">
        <f>IF(C38="","",VLOOKUP(C38,Table1[[#All],[Product Name]:[Product Price]],2,FALSE))</f>
        <v/>
      </c>
      <c r="E38" s="47"/>
      <c r="F38" s="15" t="str">
        <f>IF(Table47[[#This Row],[Product]]="","",VLOOKUP(Table47[[#This Row],[Product]],Table1[[#All],[Product Name]:[Product Price]],3,FALSE))</f>
        <v/>
      </c>
      <c r="G38" s="15" t="str">
        <f t="shared" si="0"/>
        <v/>
      </c>
      <c r="H38" s="25" t="str">
        <f t="shared" si="1"/>
        <v/>
      </c>
      <c r="I38" t="b">
        <f t="shared" si="2"/>
        <v>1</v>
      </c>
      <c r="J38" s="17"/>
    </row>
    <row r="39" spans="2:10" ht="15.75" hidden="1" thickBot="1" x14ac:dyDescent="0.3">
      <c r="B39" s="48"/>
      <c r="C39" s="60"/>
      <c r="D39" s="14" t="str">
        <f>IF(C39="","",VLOOKUP(C39,Table1[[#All],[Product Name]:[Product Price]],2,FALSE))</f>
        <v/>
      </c>
      <c r="E39" s="47"/>
      <c r="F39" s="15" t="str">
        <f>IF(Table47[[#This Row],[Product]]="","",VLOOKUP(Table47[[#This Row],[Product]],Table1[[#All],[Product Name]:[Product Price]],3,FALSE))</f>
        <v/>
      </c>
      <c r="G39" s="15" t="str">
        <f t="shared" si="0"/>
        <v/>
      </c>
      <c r="H39" s="25" t="str">
        <f t="shared" si="1"/>
        <v/>
      </c>
      <c r="I39" t="b">
        <f t="shared" si="2"/>
        <v>1</v>
      </c>
      <c r="J39" s="17"/>
    </row>
    <row r="40" spans="2:10" ht="15.75" hidden="1" thickBot="1" x14ac:dyDescent="0.3">
      <c r="B40" s="48"/>
      <c r="C40" s="60"/>
      <c r="D40" s="14" t="str">
        <f>IF(C40="","",VLOOKUP(C40,Table1[[#All],[Product Name]:[Product Price]],2,FALSE))</f>
        <v/>
      </c>
      <c r="E40" s="62"/>
      <c r="F40" s="15" t="str">
        <f>IF(Table47[[#This Row],[Product]]="","",VLOOKUP(Table47[[#This Row],[Product]],Table1[[#All],[Product Name]:[Product Price]],3,FALSE))</f>
        <v/>
      </c>
      <c r="G40" s="15" t="str">
        <f t="shared" si="0"/>
        <v/>
      </c>
      <c r="H40" s="25" t="str">
        <f t="shared" si="1"/>
        <v/>
      </c>
      <c r="I40" t="b">
        <f t="shared" si="2"/>
        <v>1</v>
      </c>
      <c r="J40" s="17"/>
    </row>
    <row r="41" spans="2:10" x14ac:dyDescent="0.25">
      <c r="B41" s="48"/>
      <c r="C41" s="63"/>
      <c r="D41" s="63"/>
      <c r="E41" s="63"/>
      <c r="F41" s="63"/>
      <c r="G41" s="63"/>
      <c r="H41" s="63"/>
      <c r="J41" s="17"/>
    </row>
    <row r="42" spans="2:10" x14ac:dyDescent="0.25">
      <c r="B42" s="48"/>
      <c r="C42" s="49" t="s">
        <v>21</v>
      </c>
      <c r="J42" s="17"/>
    </row>
    <row r="43" spans="2:10" x14ac:dyDescent="0.25">
      <c r="B43" s="48"/>
      <c r="C43" s="109" t="s">
        <v>397</v>
      </c>
      <c r="D43" s="110"/>
      <c r="G43" t="s">
        <v>17</v>
      </c>
      <c r="H43" s="22">
        <f>SUM(H11:H40)</f>
        <v>9.99</v>
      </c>
      <c r="J43" s="17"/>
    </row>
    <row r="44" spans="2:10" x14ac:dyDescent="0.25">
      <c r="B44" s="48"/>
      <c r="C44" s="111"/>
      <c r="D44" s="112"/>
      <c r="G44" t="s">
        <v>18</v>
      </c>
      <c r="H44" s="22">
        <f>SUM(G11:G40)</f>
        <v>1.9980000000000002</v>
      </c>
      <c r="J44" s="17"/>
    </row>
    <row r="45" spans="2:10" x14ac:dyDescent="0.25">
      <c r="B45" s="48"/>
      <c r="C45" s="113"/>
      <c r="D45" s="114"/>
      <c r="G45" s="20" t="s">
        <v>19</v>
      </c>
      <c r="H45" s="23">
        <f>SUM(H43:H44)</f>
        <v>11.988</v>
      </c>
      <c r="J45" s="17"/>
    </row>
    <row r="46" spans="2:10" ht="15.75" thickBot="1" x14ac:dyDescent="0.3">
      <c r="B46" s="50"/>
      <c r="C46" s="16"/>
      <c r="D46" s="16"/>
      <c r="E46" s="16"/>
      <c r="F46" s="16"/>
      <c r="G46" s="16"/>
      <c r="H46" s="16"/>
      <c r="J46" s="17"/>
    </row>
    <row r="47" spans="2:10" x14ac:dyDescent="0.25">
      <c r="B47" s="51"/>
      <c r="C47" s="52" t="s">
        <v>22</v>
      </c>
      <c r="D47" s="52"/>
      <c r="E47" s="52" t="s">
        <v>20</v>
      </c>
      <c r="F47" s="52"/>
      <c r="G47" s="21"/>
      <c r="H47" s="21"/>
      <c r="I47" s="21"/>
      <c r="J47" s="26"/>
    </row>
    <row r="48" spans="2:10" x14ac:dyDescent="0.25">
      <c r="B48" s="48"/>
      <c r="C48" t="s">
        <v>23</v>
      </c>
      <c r="D48" s="53">
        <f>IF($D$5 = "","",VLOOKUP($D$5,Table13[#All],8,FALSE))</f>
        <v>2</v>
      </c>
      <c r="E48" t="s">
        <v>27</v>
      </c>
      <c r="G48" s="53" t="str">
        <f>IF($D$5 = "","",VLOOKUP($D$5,'Customer Database'!A:G,6,FALSE))</f>
        <v>Bank of America</v>
      </c>
      <c r="H48" s="53"/>
      <c r="I48" s="53"/>
      <c r="J48" s="17"/>
    </row>
    <row r="49" spans="2:10" x14ac:dyDescent="0.25">
      <c r="B49" s="48"/>
      <c r="C49" t="s">
        <v>24</v>
      </c>
      <c r="D49" s="53" t="str">
        <f>IF($D$5 = "","",VLOOKUP($D$5,'Customer Database'!A:G,5,FALSE))</f>
        <v>(234) 567-8901</v>
      </c>
      <c r="E49" t="s">
        <v>28</v>
      </c>
      <c r="G49" s="54">
        <f>IF($D$5 = "","",VLOOKUP($D$5,'Customer Database'!A:G,7,FALSE))</f>
        <v>2345678901234</v>
      </c>
      <c r="H49" s="54"/>
      <c r="I49" s="54"/>
      <c r="J49" s="17"/>
    </row>
    <row r="50" spans="2:10" x14ac:dyDescent="0.25">
      <c r="B50" s="55"/>
      <c r="C50" s="18" t="s">
        <v>25</v>
      </c>
      <c r="D50" s="46" t="str">
        <f>IF($D$5 = "","",VLOOKUP($D$5,'Customer Database'!A:G,4,FALSE))</f>
        <v>sarah.doe@abc.com</v>
      </c>
      <c r="E50" s="18" t="s">
        <v>26</v>
      </c>
      <c r="F50" s="18"/>
      <c r="G50" s="46"/>
      <c r="H50" s="46"/>
      <c r="I50" s="46"/>
      <c r="J50" s="19"/>
    </row>
  </sheetData>
  <mergeCells count="3">
    <mergeCell ref="B2:D2"/>
    <mergeCell ref="G2:H2"/>
    <mergeCell ref="C43:D45"/>
  </mergeCells>
  <hyperlinks>
    <hyperlink ref="C8" r:id="rId1" xr:uid="{92CF03E5-128F-4447-8BEF-49BCF5601AEB}"/>
  </hyperlinks>
  <pageMargins left="0.7" right="0.7" top="0.75" bottom="0.75" header="0.3" footer="0.3"/>
  <pageSetup scale="51"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autoFill="0" autoPict="0" macro="[0]!InsertRecord">
                <anchor moveWithCells="1" sizeWithCells="1">
                  <from>
                    <xdr:col>3</xdr:col>
                    <xdr:colOff>933450</xdr:colOff>
                    <xdr:row>0</xdr:row>
                    <xdr:rowOff>85725</xdr:rowOff>
                  </from>
                  <to>
                    <xdr:col>3</xdr:col>
                    <xdr:colOff>1628775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autoFill="0" autoPict="0" macro="[0]!ClearInvoice">
                <anchor moveWithCells="1" sizeWithCells="1">
                  <from>
                    <xdr:col>3</xdr:col>
                    <xdr:colOff>933450</xdr:colOff>
                    <xdr:row>1</xdr:row>
                    <xdr:rowOff>161925</xdr:rowOff>
                  </from>
                  <to>
                    <xdr:col>3</xdr:col>
                    <xdr:colOff>1628775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autoFill="0" autoPict="0" macro="[0]!newExcelFile">
                <anchor moveWithCells="1" sizeWithCells="1">
                  <from>
                    <xdr:col>3</xdr:col>
                    <xdr:colOff>1657350</xdr:colOff>
                    <xdr:row>0</xdr:row>
                    <xdr:rowOff>76200</xdr:rowOff>
                  </from>
                  <to>
                    <xdr:col>3</xdr:col>
                    <xdr:colOff>2352675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autoFill="0" autoPict="0" macro="[0]!newPDFFile">
                <anchor moveWithCells="1" sizeWithCells="1">
                  <from>
                    <xdr:col>3</xdr:col>
                    <xdr:colOff>1666875</xdr:colOff>
                    <xdr:row>1</xdr:row>
                    <xdr:rowOff>161925</xdr:rowOff>
                  </from>
                  <to>
                    <xdr:col>3</xdr:col>
                    <xdr:colOff>2362200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1FFC17-D7DA-4862-BB24-F54F7CCBAD00}">
          <x14:formula1>
            <xm:f>'Customer Database'!$A$2:$A$31</xm:f>
          </x14:formula1>
          <xm:sqref>D5</xm:sqref>
        </x14:dataValidation>
        <x14:dataValidation type="list" allowBlank="1" showInputMessage="1" showErrorMessage="1" xr:uid="{6816CB7C-9777-445E-992D-CF75AB114F8D}">
          <x14:formula1>
            <xm:f>Catalog!$B$2:$B$101</xm:f>
          </x14:formula1>
          <xm:sqref>C11:C40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6540-7703-43B5-8011-2218CD75F172}">
  <sheetPr codeName="Sheet2">
    <pageSetUpPr fitToPage="1"/>
  </sheetPr>
  <dimension ref="B2:J50"/>
  <sheetViews>
    <sheetView showGridLines="0" zoomScale="90" zoomScaleNormal="90" workbookViewId="0">
      <selection activeCell="D6" sqref="D6"/>
    </sheetView>
  </sheetViews>
  <sheetFormatPr defaultRowHeight="15" x14ac:dyDescent="0.25"/>
  <cols>
    <col min="1" max="1" width="9.140625" customWidth="1"/>
    <col min="2" max="2" width="10.42578125" customWidth="1"/>
    <col min="3" max="3" width="35.28515625" customWidth="1"/>
    <col min="4" max="4" width="44.85546875" customWidth="1"/>
    <col min="5" max="5" width="25.28515625" bestFit="1" customWidth="1"/>
    <col min="6" max="6" width="14.42578125" bestFit="1" customWidth="1"/>
    <col min="7" max="7" width="17.140625" bestFit="1" customWidth="1"/>
    <col min="8" max="8" width="21" customWidth="1"/>
    <col min="9" max="9" width="19.5703125" hidden="1" customWidth="1"/>
  </cols>
  <sheetData>
    <row r="2" spans="2:10" ht="44.25" customHeight="1" x14ac:dyDescent="0.25">
      <c r="B2" s="106" t="s">
        <v>0</v>
      </c>
      <c r="C2" s="107"/>
      <c r="D2" s="107"/>
      <c r="E2" s="56"/>
      <c r="F2" s="56"/>
      <c r="G2" s="108" t="s">
        <v>1</v>
      </c>
      <c r="H2" s="108"/>
      <c r="I2" s="57"/>
      <c r="J2" s="58"/>
    </row>
    <row r="3" spans="2:10" ht="15.75" thickBot="1" x14ac:dyDescent="0.3">
      <c r="B3" s="48"/>
      <c r="J3" s="17"/>
    </row>
    <row r="4" spans="2:10" ht="15.75" thickTop="1" x14ac:dyDescent="0.25">
      <c r="B4" s="48"/>
      <c r="C4" s="4" t="s">
        <v>6</v>
      </c>
      <c r="D4" s="5" t="s">
        <v>10</v>
      </c>
      <c r="F4" s="10" t="s">
        <v>2</v>
      </c>
      <c r="G4" s="6">
        <v>1</v>
      </c>
      <c r="J4" s="17"/>
    </row>
    <row r="5" spans="2:10" x14ac:dyDescent="0.25">
      <c r="B5" s="48"/>
      <c r="C5" s="2" t="s">
        <v>0</v>
      </c>
      <c r="D5" s="43" t="s">
        <v>317</v>
      </c>
      <c r="F5" s="11" t="s">
        <v>3</v>
      </c>
      <c r="G5" s="7" t="s">
        <v>32</v>
      </c>
      <c r="J5" s="17"/>
    </row>
    <row r="6" spans="2:10" x14ac:dyDescent="0.25">
      <c r="B6" s="48"/>
      <c r="C6" s="2" t="s">
        <v>7</v>
      </c>
      <c r="D6" s="44" t="str">
        <f>VLOOKUP($D$5,'Customer Database'!A:G,2,FALSE)</f>
        <v>1500 Oak Street</v>
      </c>
      <c r="F6" s="11" t="s">
        <v>4</v>
      </c>
      <c r="G6" s="42">
        <v>45430</v>
      </c>
      <c r="J6" s="17"/>
    </row>
    <row r="7" spans="2:10" ht="15.75" thickBot="1" x14ac:dyDescent="0.3">
      <c r="B7" s="48"/>
      <c r="C7" s="2" t="s">
        <v>8</v>
      </c>
      <c r="D7" s="44" t="str">
        <f>VLOOKUP($D$5,'Customer Database'!A:G,3,FALSE)</f>
        <v>Parkville, MD 21234</v>
      </c>
      <c r="F7" s="12" t="s">
        <v>5</v>
      </c>
      <c r="G7" s="28">
        <f>IF(ISBLANK(G6),"",G6+30)</f>
        <v>45460</v>
      </c>
      <c r="J7" s="17"/>
    </row>
    <row r="8" spans="2:10" ht="15.75" thickBot="1" x14ac:dyDescent="0.3">
      <c r="B8" s="48"/>
      <c r="C8" s="3" t="s">
        <v>9</v>
      </c>
      <c r="D8" s="45" t="str">
        <f>VLOOKUP($D$5,'Customer Database'!A:G,4,FALSE)</f>
        <v>jsteel@oliveri.com</v>
      </c>
      <c r="J8" s="17"/>
    </row>
    <row r="9" spans="2:10" ht="16.5" thickTop="1" thickBot="1" x14ac:dyDescent="0.3">
      <c r="B9" s="48"/>
      <c r="J9" s="17"/>
    </row>
    <row r="10" spans="2:10" ht="15.75" thickTop="1" x14ac:dyDescent="0.25">
      <c r="B10" s="48"/>
      <c r="C10" s="59" t="s">
        <v>11</v>
      </c>
      <c r="D10" s="13" t="s">
        <v>12</v>
      </c>
      <c r="E10" s="13" t="s">
        <v>13</v>
      </c>
      <c r="F10" s="13" t="s">
        <v>14</v>
      </c>
      <c r="G10" s="13" t="s">
        <v>15</v>
      </c>
      <c r="H10" s="24" t="s">
        <v>16</v>
      </c>
      <c r="I10" s="51" t="s">
        <v>380</v>
      </c>
      <c r="J10" s="17"/>
    </row>
    <row r="11" spans="2:10" ht="45" x14ac:dyDescent="0.25">
      <c r="B11" s="48"/>
      <c r="C11" s="60" t="s">
        <v>221</v>
      </c>
      <c r="D11" s="14" t="str">
        <f>IF(ISBLANK(Table4[[#This Row],[Product]]),"",VLOOKUP(Table4[[#This Row],[Product]],Table1[[#All],[Product Name]:[Product Price]],2,FALSE))</f>
        <v>High-quality engine oil that lubricates engine components, reduces friction and wear, and provides thermal stability.</v>
      </c>
      <c r="E11" s="1">
        <v>3</v>
      </c>
      <c r="F11" s="15">
        <f>IF(ISBLANK(Table4[[#This Row],[Product]]),"",VLOOKUP(Table4[[#This Row],[Product]],Table1[[#All],[Product Name]:[Product Price]],3,FALSE))</f>
        <v>29.99</v>
      </c>
      <c r="G11" s="15">
        <f t="shared" ref="G11:G15" si="0">IF(F11="","",F11*E11*0.2)</f>
        <v>17.994</v>
      </c>
      <c r="H11" s="25">
        <f t="shared" ref="H11:H15" si="1">IF(F11="","",F11*E11)</f>
        <v>89.97</v>
      </c>
      <c r="I11" t="b">
        <f>IF(ISBLANK(C10),TRUE,FALSE)</f>
        <v>0</v>
      </c>
      <c r="J11" s="17"/>
    </row>
    <row r="12" spans="2:10" ht="45" x14ac:dyDescent="0.25">
      <c r="B12" s="48"/>
      <c r="C12" s="60" t="s">
        <v>43</v>
      </c>
      <c r="D12" s="14" t="str">
        <f>IF(ISBLANK(Table4[[#This Row],[Product]]),"",VLOOKUP(Table4[[#This Row],[Product]],Table1[[#All],[Product Name]:[Product Price]],2,FALSE))</f>
        <v>Premium oil filter designed to trap harmful contaminants and keep your engine running smoothly.</v>
      </c>
      <c r="E12" s="47">
        <v>3</v>
      </c>
      <c r="F12" s="15">
        <f>IF(ISBLANK(Table4[[#This Row],[Product]]),"",VLOOKUP(Table4[[#This Row],[Product]],Table1[[#All],[Product Name]:[Product Price]],3,FALSE))</f>
        <v>9.99</v>
      </c>
      <c r="G12" s="15">
        <f t="shared" si="0"/>
        <v>5.9939999999999998</v>
      </c>
      <c r="H12" s="25">
        <f t="shared" si="1"/>
        <v>29.97</v>
      </c>
      <c r="I12" t="b">
        <f t="shared" ref="I12:I40" si="2">IF(ISBLANK(C11),TRUE,FALSE)</f>
        <v>0</v>
      </c>
      <c r="J12" s="17"/>
    </row>
    <row r="13" spans="2:10" ht="45" x14ac:dyDescent="0.25">
      <c r="B13" s="48"/>
      <c r="C13" s="60" t="s">
        <v>133</v>
      </c>
      <c r="D13" s="14" t="str">
        <f>IF(ISBLANK(Table4[[#This Row],[Product]]),"",VLOOKUP(Table4[[#This Row],[Product]],Table1[[#All],[Product Name]:[Product Price]],2,FALSE))</f>
        <v>Replacement supercharger that increases engine power and efficiency by compressing air for improved combustion.</v>
      </c>
      <c r="E13" s="47">
        <v>1</v>
      </c>
      <c r="F13" s="15">
        <f>IF(ISBLANK(Table4[[#This Row],[Product]]),"",VLOOKUP(Table4[[#This Row],[Product]],Table1[[#All],[Product Name]:[Product Price]],3,FALSE))</f>
        <v>399.99</v>
      </c>
      <c r="G13" s="15">
        <f t="shared" si="0"/>
        <v>79.998000000000005</v>
      </c>
      <c r="H13" s="25">
        <f t="shared" si="1"/>
        <v>399.99</v>
      </c>
      <c r="I13" t="b">
        <f t="shared" si="2"/>
        <v>0</v>
      </c>
      <c r="J13" s="17"/>
    </row>
    <row r="14" spans="2:10" ht="45" x14ac:dyDescent="0.25">
      <c r="B14" s="48"/>
      <c r="C14" s="60" t="s">
        <v>171</v>
      </c>
      <c r="D14" s="14" t="str">
        <f>IF(ISBLANK(Table4[[#This Row],[Product]]),"",VLOOKUP(Table4[[#This Row],[Product]],Table1[[#All],[Product Name]:[Product Price]],2,FALSE))</f>
        <v>Replacement head gasket that seals the cylinder head to the engine block, preventing coolant and oil leaks.</v>
      </c>
      <c r="E14" s="47">
        <v>2</v>
      </c>
      <c r="F14" s="15">
        <f>IF(ISBLANK(Table4[[#This Row],[Product]]),"",VLOOKUP(Table4[[#This Row],[Product]],Table1[[#All],[Product Name]:[Product Price]],3,FALSE))</f>
        <v>49.99</v>
      </c>
      <c r="G14" s="15">
        <f t="shared" si="0"/>
        <v>19.996000000000002</v>
      </c>
      <c r="H14" s="25">
        <f t="shared" si="1"/>
        <v>99.98</v>
      </c>
      <c r="I14" t="b">
        <f t="shared" si="2"/>
        <v>0</v>
      </c>
      <c r="J14" s="17"/>
    </row>
    <row r="15" spans="2:10" ht="47.25" customHeight="1" x14ac:dyDescent="0.25">
      <c r="B15" s="48"/>
      <c r="C15" s="60" t="s">
        <v>65</v>
      </c>
      <c r="D15" s="14" t="str">
        <f>IF(ISBLANK(Table4[[#This Row],[Product]]),"",VLOOKUP(Table4[[#This Row],[Product]],Table1[[#All],[Product Name]:[Product Price]],2,FALSE))</f>
        <v>Premium brake rotors made from high-quality materials for consistent braking performance and reduced noise.</v>
      </c>
      <c r="E15" s="47">
        <v>5</v>
      </c>
      <c r="F15" s="15">
        <f>IF(ISBLANK(Table4[[#This Row],[Product]]),"",VLOOKUP(Table4[[#This Row],[Product]],Table1[[#All],[Product Name]:[Product Price]],3,FALSE))</f>
        <v>49.99</v>
      </c>
      <c r="G15" s="15">
        <f t="shared" si="0"/>
        <v>49.990000000000009</v>
      </c>
      <c r="H15" s="25">
        <f t="shared" si="1"/>
        <v>249.95000000000002</v>
      </c>
      <c r="I15" t="b">
        <f t="shared" si="2"/>
        <v>0</v>
      </c>
      <c r="J15" s="17"/>
    </row>
    <row r="16" spans="2:10" ht="45" x14ac:dyDescent="0.25">
      <c r="B16" s="48"/>
      <c r="C16" s="60" t="s">
        <v>49</v>
      </c>
      <c r="D16" s="14" t="str">
        <f>IF(ISBLANK(Table4[[#This Row],[Product]]),"",VLOOKUP(Table4[[#This Row],[Product]],Table1[[#All],[Product Name]:[Product Price]],2,FALSE))</f>
        <v>Cabin air filter that removes dust, pollen, and other allergens, ensuring clean air inside your vehicle.</v>
      </c>
      <c r="E16" s="47">
        <v>2</v>
      </c>
      <c r="F16" s="15">
        <f>IF(ISBLANK(Table4[[#This Row],[Product]]),"",VLOOKUP(Table4[[#This Row],[Product]],Table1[[#All],[Product Name]:[Product Price]],3,FALSE))</f>
        <v>24.99</v>
      </c>
      <c r="G16" s="15">
        <f>IF(F16="","",F16*E16*0.2)</f>
        <v>9.9960000000000004</v>
      </c>
      <c r="H16" s="25">
        <f>IF(F16="","",F16*E16)</f>
        <v>49.98</v>
      </c>
      <c r="I16" t="b">
        <f t="shared" si="2"/>
        <v>0</v>
      </c>
      <c r="J16" s="17"/>
    </row>
    <row r="17" spans="2:10" ht="15.75" thickBot="1" x14ac:dyDescent="0.3">
      <c r="B17" s="48"/>
      <c r="C17" s="60"/>
      <c r="D17" s="14" t="str">
        <f>IF(ISBLANK(Table4[[#This Row],[Product]]),"",VLOOKUP(Table4[[#This Row],[Product]],Table1[[#All],[Product Name]:[Product Price]],2,FALSE))</f>
        <v/>
      </c>
      <c r="E17" s="47"/>
      <c r="F17" s="15" t="str">
        <f>IF(ISBLANK(Table4[[#This Row],[Product]]),"",VLOOKUP(Table4[[#This Row],[Product]],Table1[[#All],[Product Name]:[Product Price]],3,FALSE))</f>
        <v/>
      </c>
      <c r="G17" s="15" t="str">
        <f t="shared" ref="G17:G40" si="3">IF(F17="","",F17*E17*0.2)</f>
        <v/>
      </c>
      <c r="H17" s="25" t="str">
        <f t="shared" ref="H17:H40" si="4">IF(F17="","",F17*E17)</f>
        <v/>
      </c>
      <c r="I17" t="b">
        <f t="shared" si="2"/>
        <v>0</v>
      </c>
      <c r="J17" s="17"/>
    </row>
    <row r="18" spans="2:10" ht="15.75" hidden="1" thickBot="1" x14ac:dyDescent="0.3">
      <c r="B18" s="48"/>
      <c r="C18" s="60"/>
      <c r="D18" s="14" t="str">
        <f>IF(ISBLANK(Table4[[#This Row],[Product]]),"",VLOOKUP(Table4[[#This Row],[Product]],Table1[[#All],[Product Name]:[Product Price]],2,FALSE))</f>
        <v/>
      </c>
      <c r="E18" s="47"/>
      <c r="F18" s="15" t="str">
        <f>IF(ISBLANK(Table4[[#This Row],[Product]]),"",VLOOKUP(Table4[[#This Row],[Product]],Table1[[#All],[Product Name]:[Product Price]],3,FALSE))</f>
        <v/>
      </c>
      <c r="G18" s="15" t="str">
        <f t="shared" si="3"/>
        <v/>
      </c>
      <c r="H18" s="25" t="str">
        <f t="shared" si="4"/>
        <v/>
      </c>
      <c r="I18" t="b">
        <f t="shared" si="2"/>
        <v>1</v>
      </c>
      <c r="J18" s="17"/>
    </row>
    <row r="19" spans="2:10" ht="15.75" hidden="1" thickBot="1" x14ac:dyDescent="0.3">
      <c r="B19" s="48"/>
      <c r="C19" s="60"/>
      <c r="D19" s="14" t="str">
        <f>IF(ISBLANK(Table4[[#This Row],[Product]]),"",VLOOKUP(Table4[[#This Row],[Product]],Table1[[#All],[Product Name]:[Product Price]],2,FALSE))</f>
        <v/>
      </c>
      <c r="E19" s="47"/>
      <c r="F19" s="15" t="str">
        <f>IF(ISBLANK(Table4[[#This Row],[Product]]),"",VLOOKUP(Table4[[#This Row],[Product]],Table1[[#All],[Product Name]:[Product Price]],3,FALSE))</f>
        <v/>
      </c>
      <c r="G19" s="15" t="str">
        <f t="shared" si="3"/>
        <v/>
      </c>
      <c r="H19" s="25" t="str">
        <f t="shared" si="4"/>
        <v/>
      </c>
      <c r="I19" t="b">
        <f t="shared" si="2"/>
        <v>1</v>
      </c>
      <c r="J19" s="17"/>
    </row>
    <row r="20" spans="2:10" ht="15.75" hidden="1" thickBot="1" x14ac:dyDescent="0.3">
      <c r="B20" s="48"/>
      <c r="C20" s="60"/>
      <c r="D20" s="14" t="str">
        <f>IF(ISBLANK(Table4[[#This Row],[Product]]),"",VLOOKUP(Table4[[#This Row],[Product]],Table1[[#All],[Product Name]:[Product Price]],2,FALSE))</f>
        <v/>
      </c>
      <c r="E20" s="47"/>
      <c r="F20" s="15" t="str">
        <f>IF(ISBLANK(Table4[[#This Row],[Product]]),"",VLOOKUP(Table4[[#This Row],[Product]],Table1[[#All],[Product Name]:[Product Price]],3,FALSE))</f>
        <v/>
      </c>
      <c r="G20" s="15" t="str">
        <f t="shared" si="3"/>
        <v/>
      </c>
      <c r="H20" s="25" t="str">
        <f t="shared" si="4"/>
        <v/>
      </c>
      <c r="I20" t="b">
        <f t="shared" si="2"/>
        <v>1</v>
      </c>
      <c r="J20" s="17"/>
    </row>
    <row r="21" spans="2:10" ht="15.75" hidden="1" thickBot="1" x14ac:dyDescent="0.3">
      <c r="B21" s="48"/>
      <c r="C21" s="60"/>
      <c r="D21" s="14" t="str">
        <f>IF(ISBLANK(Table4[[#This Row],[Product]]),"",VLOOKUP(Table4[[#This Row],[Product]],Table1[[#All],[Product Name]:[Product Price]],2,FALSE))</f>
        <v/>
      </c>
      <c r="E21" s="47"/>
      <c r="F21" s="15" t="str">
        <f>IF(ISBLANK(Table4[[#This Row],[Product]]),"",VLOOKUP(Table4[[#This Row],[Product]],Table1[[#All],[Product Name]:[Product Price]],3,FALSE))</f>
        <v/>
      </c>
      <c r="G21" s="15" t="str">
        <f t="shared" si="3"/>
        <v/>
      </c>
      <c r="H21" s="25" t="str">
        <f t="shared" si="4"/>
        <v/>
      </c>
      <c r="I21" t="b">
        <f t="shared" si="2"/>
        <v>1</v>
      </c>
      <c r="J21" s="17"/>
    </row>
    <row r="22" spans="2:10" ht="15.75" hidden="1" thickBot="1" x14ac:dyDescent="0.3">
      <c r="B22" s="48"/>
      <c r="C22" s="60"/>
      <c r="D22" s="14" t="str">
        <f>IF(ISBLANK(Table4[[#This Row],[Product]]),"",VLOOKUP(Table4[[#This Row],[Product]],Table1[[#All],[Product Name]:[Product Price]],2,FALSE))</f>
        <v/>
      </c>
      <c r="E22" s="47"/>
      <c r="F22" s="15" t="str">
        <f>IF(ISBLANK(Table4[[#This Row],[Product]]),"",VLOOKUP(Table4[[#This Row],[Product]],Table1[[#All],[Product Name]:[Product Price]],3,FALSE))</f>
        <v/>
      </c>
      <c r="G22" s="15" t="str">
        <f t="shared" si="3"/>
        <v/>
      </c>
      <c r="H22" s="25" t="str">
        <f t="shared" si="4"/>
        <v/>
      </c>
      <c r="I22" t="b">
        <f t="shared" si="2"/>
        <v>1</v>
      </c>
      <c r="J22" s="17"/>
    </row>
    <row r="23" spans="2:10" ht="15.75" hidden="1" thickBot="1" x14ac:dyDescent="0.3">
      <c r="B23" s="48"/>
      <c r="C23" s="60"/>
      <c r="D23" s="14" t="str">
        <f>IF(ISBLANK(Table4[[#This Row],[Product]]),"",VLOOKUP(Table4[[#This Row],[Product]],Table1[[#All],[Product Name]:[Product Price]],2,FALSE))</f>
        <v/>
      </c>
      <c r="E23" s="47"/>
      <c r="F23" s="15" t="str">
        <f>IF(ISBLANK(Table4[[#This Row],[Product]]),"",VLOOKUP(Table4[[#This Row],[Product]],Table1[[#All],[Product Name]:[Product Price]],3,FALSE))</f>
        <v/>
      </c>
      <c r="G23" s="15" t="str">
        <f t="shared" si="3"/>
        <v/>
      </c>
      <c r="H23" s="25" t="str">
        <f t="shared" si="4"/>
        <v/>
      </c>
      <c r="I23" t="b">
        <f t="shared" si="2"/>
        <v>1</v>
      </c>
      <c r="J23" s="17"/>
    </row>
    <row r="24" spans="2:10" ht="15.75" hidden="1" thickBot="1" x14ac:dyDescent="0.3">
      <c r="B24" s="48"/>
      <c r="C24" s="60"/>
      <c r="D24" s="14" t="str">
        <f>IF(ISBLANK(Table4[[#This Row],[Product]]),"",VLOOKUP(Table4[[#This Row],[Product]],Table1[[#All],[Product Name]:[Product Price]],2,FALSE))</f>
        <v/>
      </c>
      <c r="E24" s="47"/>
      <c r="F24" s="15" t="str">
        <f>IF(ISBLANK(Table4[[#This Row],[Product]]),"",VLOOKUP(Table4[[#This Row],[Product]],Table1[[#All],[Product Name]:[Product Price]],3,FALSE))</f>
        <v/>
      </c>
      <c r="G24" s="15" t="str">
        <f t="shared" si="3"/>
        <v/>
      </c>
      <c r="H24" s="25" t="str">
        <f t="shared" si="4"/>
        <v/>
      </c>
      <c r="I24" t="b">
        <f t="shared" si="2"/>
        <v>1</v>
      </c>
      <c r="J24" s="17"/>
    </row>
    <row r="25" spans="2:10" ht="15.75" hidden="1" thickBot="1" x14ac:dyDescent="0.3">
      <c r="B25" s="48"/>
      <c r="C25" s="60"/>
      <c r="D25" s="14" t="str">
        <f>IF(ISBLANK(Table4[[#This Row],[Product]]),"",VLOOKUP(Table4[[#This Row],[Product]],Table1[[#All],[Product Name]:[Product Price]],2,FALSE))</f>
        <v/>
      </c>
      <c r="E25" s="47"/>
      <c r="F25" s="15" t="str">
        <f>IF(ISBLANK(Table4[[#This Row],[Product]]),"",VLOOKUP(Table4[[#This Row],[Product]],Table1[[#All],[Product Name]:[Product Price]],3,FALSE))</f>
        <v/>
      </c>
      <c r="G25" s="15" t="str">
        <f t="shared" si="3"/>
        <v/>
      </c>
      <c r="H25" s="25" t="str">
        <f t="shared" si="4"/>
        <v/>
      </c>
      <c r="I25" t="b">
        <f t="shared" si="2"/>
        <v>1</v>
      </c>
      <c r="J25" s="17"/>
    </row>
    <row r="26" spans="2:10" ht="15.75" hidden="1" thickBot="1" x14ac:dyDescent="0.3">
      <c r="B26" s="48"/>
      <c r="C26" s="60"/>
      <c r="D26" s="14" t="str">
        <f>IF(ISBLANK(Table4[[#This Row],[Product]]),"",VLOOKUP(Table4[[#This Row],[Product]],Table1[[#All],[Product Name]:[Product Price]],2,FALSE))</f>
        <v/>
      </c>
      <c r="E26" s="47"/>
      <c r="F26" s="15" t="str">
        <f>IF(ISBLANK(Table4[[#This Row],[Product]]),"",VLOOKUP(Table4[[#This Row],[Product]],Table1[[#All],[Product Name]:[Product Price]],3,FALSE))</f>
        <v/>
      </c>
      <c r="G26" s="15" t="str">
        <f t="shared" si="3"/>
        <v/>
      </c>
      <c r="H26" s="25" t="str">
        <f t="shared" si="4"/>
        <v/>
      </c>
      <c r="I26" t="b">
        <f t="shared" si="2"/>
        <v>1</v>
      </c>
      <c r="J26" s="17"/>
    </row>
    <row r="27" spans="2:10" ht="15.75" hidden="1" thickBot="1" x14ac:dyDescent="0.3">
      <c r="B27" s="48"/>
      <c r="C27" s="60"/>
      <c r="D27" s="14" t="str">
        <f>IF(ISBLANK(Table4[[#This Row],[Product]]),"",VLOOKUP(Table4[[#This Row],[Product]],Table1[[#All],[Product Name]:[Product Price]],2,FALSE))</f>
        <v/>
      </c>
      <c r="E27" s="47"/>
      <c r="F27" s="15" t="str">
        <f>IF(ISBLANK(Table4[[#This Row],[Product]]),"",VLOOKUP(Table4[[#This Row],[Product]],Table1[[#All],[Product Name]:[Product Price]],3,FALSE))</f>
        <v/>
      </c>
      <c r="G27" s="15" t="str">
        <f t="shared" si="3"/>
        <v/>
      </c>
      <c r="H27" s="25" t="str">
        <f t="shared" si="4"/>
        <v/>
      </c>
      <c r="I27" t="b">
        <f t="shared" si="2"/>
        <v>1</v>
      </c>
      <c r="J27" s="17"/>
    </row>
    <row r="28" spans="2:10" ht="15.75" hidden="1" thickBot="1" x14ac:dyDescent="0.3">
      <c r="B28" s="48"/>
      <c r="C28" s="60"/>
      <c r="D28" s="14" t="str">
        <f>IF(ISBLANK(Table4[[#This Row],[Product]]),"",VLOOKUP(Table4[[#This Row],[Product]],Table1[[#All],[Product Name]:[Product Price]],2,FALSE))</f>
        <v/>
      </c>
      <c r="E28" s="47"/>
      <c r="F28" s="15" t="str">
        <f>IF(ISBLANK(Table4[[#This Row],[Product]]),"",VLOOKUP(Table4[[#This Row],[Product]],Table1[[#All],[Product Name]:[Product Price]],3,FALSE))</f>
        <v/>
      </c>
      <c r="G28" s="15" t="str">
        <f t="shared" si="3"/>
        <v/>
      </c>
      <c r="H28" s="25" t="str">
        <f t="shared" si="4"/>
        <v/>
      </c>
      <c r="I28" t="b">
        <f t="shared" si="2"/>
        <v>1</v>
      </c>
      <c r="J28" s="17"/>
    </row>
    <row r="29" spans="2:10" ht="15.75" hidden="1" thickBot="1" x14ac:dyDescent="0.3">
      <c r="B29" s="48"/>
      <c r="C29" s="60"/>
      <c r="D29" s="14" t="str">
        <f>IF(ISBLANK(Table4[[#This Row],[Product]]),"",VLOOKUP(Table4[[#This Row],[Product]],Table1[[#All],[Product Name]:[Product Price]],2,FALSE))</f>
        <v/>
      </c>
      <c r="E29" s="47"/>
      <c r="F29" s="15" t="str">
        <f>IF(ISBLANK(Table4[[#This Row],[Product]]),"",VLOOKUP(Table4[[#This Row],[Product]],Table1[[#All],[Product Name]:[Product Price]],3,FALSE))</f>
        <v/>
      </c>
      <c r="G29" s="15" t="str">
        <f t="shared" si="3"/>
        <v/>
      </c>
      <c r="H29" s="25" t="str">
        <f t="shared" si="4"/>
        <v/>
      </c>
      <c r="I29" t="b">
        <f t="shared" si="2"/>
        <v>1</v>
      </c>
      <c r="J29" s="17"/>
    </row>
    <row r="30" spans="2:10" ht="15.75" hidden="1" thickBot="1" x14ac:dyDescent="0.3">
      <c r="B30" s="48"/>
      <c r="C30" s="60"/>
      <c r="D30" s="14" t="str">
        <f>IF(ISBLANK(Table4[[#This Row],[Product]]),"",VLOOKUP(Table4[[#This Row],[Product]],Table1[[#All],[Product Name]:[Product Price]],2,FALSE))</f>
        <v/>
      </c>
      <c r="E30" s="47"/>
      <c r="F30" s="15" t="str">
        <f>IF(ISBLANK(Table4[[#This Row],[Product]]),"",VLOOKUP(Table4[[#This Row],[Product]],Table1[[#All],[Product Name]:[Product Price]],3,FALSE))</f>
        <v/>
      </c>
      <c r="G30" s="15" t="str">
        <f t="shared" si="3"/>
        <v/>
      </c>
      <c r="H30" s="25" t="str">
        <f t="shared" si="4"/>
        <v/>
      </c>
      <c r="I30" t="b">
        <f t="shared" si="2"/>
        <v>1</v>
      </c>
      <c r="J30" s="17"/>
    </row>
    <row r="31" spans="2:10" ht="15.75" hidden="1" thickBot="1" x14ac:dyDescent="0.3">
      <c r="B31" s="48"/>
      <c r="C31" s="60"/>
      <c r="D31" s="14" t="str">
        <f>IF(ISBLANK(Table4[[#This Row],[Product]]),"",VLOOKUP(Table4[[#This Row],[Product]],Table1[[#All],[Product Name]:[Product Price]],2,FALSE))</f>
        <v/>
      </c>
      <c r="E31" s="47"/>
      <c r="F31" s="15" t="str">
        <f>IF(ISBLANK(Table4[[#This Row],[Product]]),"",VLOOKUP(Table4[[#This Row],[Product]],Table1[[#All],[Product Name]:[Product Price]],3,FALSE))</f>
        <v/>
      </c>
      <c r="G31" s="15" t="str">
        <f t="shared" si="3"/>
        <v/>
      </c>
      <c r="H31" s="25" t="str">
        <f t="shared" si="4"/>
        <v/>
      </c>
      <c r="I31" t="b">
        <f t="shared" si="2"/>
        <v>1</v>
      </c>
      <c r="J31" s="17"/>
    </row>
    <row r="32" spans="2:10" ht="15.75" hidden="1" thickBot="1" x14ac:dyDescent="0.3">
      <c r="B32" s="48"/>
      <c r="C32" s="60"/>
      <c r="D32" s="14" t="str">
        <f>IF(ISBLANK(Table4[[#This Row],[Product]]),"",VLOOKUP(Table4[[#This Row],[Product]],Table1[[#All],[Product Name]:[Product Price]],2,FALSE))</f>
        <v/>
      </c>
      <c r="E32" s="47"/>
      <c r="F32" s="15" t="str">
        <f>IF(ISBLANK(Table4[[#This Row],[Product]]),"",VLOOKUP(Table4[[#This Row],[Product]],Table1[[#All],[Product Name]:[Product Price]],3,FALSE))</f>
        <v/>
      </c>
      <c r="G32" s="15" t="str">
        <f t="shared" si="3"/>
        <v/>
      </c>
      <c r="H32" s="25" t="str">
        <f t="shared" si="4"/>
        <v/>
      </c>
      <c r="I32" t="b">
        <f t="shared" si="2"/>
        <v>1</v>
      </c>
      <c r="J32" s="17"/>
    </row>
    <row r="33" spans="2:10" ht="15.75" hidden="1" thickBot="1" x14ac:dyDescent="0.3">
      <c r="B33" s="48"/>
      <c r="C33" s="60"/>
      <c r="D33" s="14" t="str">
        <f>IF(ISBLANK(Table4[[#This Row],[Product]]),"",VLOOKUP(Table4[[#This Row],[Product]],Table1[[#All],[Product Name]:[Product Price]],2,FALSE))</f>
        <v/>
      </c>
      <c r="E33" s="47"/>
      <c r="F33" s="15" t="str">
        <f>IF(ISBLANK(Table4[[#This Row],[Product]]),"",VLOOKUP(Table4[[#This Row],[Product]],Table1[[#All],[Product Name]:[Product Price]],3,FALSE))</f>
        <v/>
      </c>
      <c r="G33" s="15" t="str">
        <f t="shared" si="3"/>
        <v/>
      </c>
      <c r="H33" s="25" t="str">
        <f t="shared" si="4"/>
        <v/>
      </c>
      <c r="I33" t="b">
        <f t="shared" si="2"/>
        <v>1</v>
      </c>
      <c r="J33" s="17"/>
    </row>
    <row r="34" spans="2:10" ht="15.75" hidden="1" thickBot="1" x14ac:dyDescent="0.3">
      <c r="B34" s="48"/>
      <c r="C34" s="60"/>
      <c r="D34" s="14" t="str">
        <f>IF(ISBLANK(Table4[[#This Row],[Product]]),"",VLOOKUP(Table4[[#This Row],[Product]],Table1[[#All],[Product Name]:[Product Price]],2,FALSE))</f>
        <v/>
      </c>
      <c r="E34" s="47"/>
      <c r="F34" s="15" t="str">
        <f>IF(ISBLANK(Table4[[#This Row],[Product]]),"",VLOOKUP(Table4[[#This Row],[Product]],Table1[[#All],[Product Name]:[Product Price]],3,FALSE))</f>
        <v/>
      </c>
      <c r="G34" s="15" t="str">
        <f t="shared" si="3"/>
        <v/>
      </c>
      <c r="H34" s="25" t="str">
        <f t="shared" si="4"/>
        <v/>
      </c>
      <c r="I34" t="b">
        <f t="shared" si="2"/>
        <v>1</v>
      </c>
      <c r="J34" s="17"/>
    </row>
    <row r="35" spans="2:10" ht="15.75" hidden="1" thickBot="1" x14ac:dyDescent="0.3">
      <c r="B35" s="48"/>
      <c r="C35" s="60"/>
      <c r="D35" s="14" t="str">
        <f>IF(ISBLANK(Table4[[#This Row],[Product]]),"",VLOOKUP(Table4[[#This Row],[Product]],Table1[[#All],[Product Name]:[Product Price]],2,FALSE))</f>
        <v/>
      </c>
      <c r="E35" s="47"/>
      <c r="F35" s="15" t="str">
        <f>IF(ISBLANK(Table4[[#This Row],[Product]]),"",VLOOKUP(Table4[[#This Row],[Product]],Table1[[#All],[Product Name]:[Product Price]],3,FALSE))</f>
        <v/>
      </c>
      <c r="G35" s="15" t="str">
        <f t="shared" si="3"/>
        <v/>
      </c>
      <c r="H35" s="25" t="str">
        <f t="shared" si="4"/>
        <v/>
      </c>
      <c r="I35" t="b">
        <f t="shared" si="2"/>
        <v>1</v>
      </c>
      <c r="J35" s="17"/>
    </row>
    <row r="36" spans="2:10" ht="15.75" hidden="1" thickBot="1" x14ac:dyDescent="0.3">
      <c r="B36" s="48"/>
      <c r="C36" s="60"/>
      <c r="D36" s="14" t="str">
        <f>IF(ISBLANK(Table4[[#This Row],[Product]]),"",VLOOKUP(Table4[[#This Row],[Product]],Table1[[#All],[Product Name]:[Product Price]],2,FALSE))</f>
        <v/>
      </c>
      <c r="E36" s="47"/>
      <c r="F36" s="15" t="str">
        <f>IF(ISBLANK(Table4[[#This Row],[Product]]),"",VLOOKUP(Table4[[#This Row],[Product]],Table1[[#All],[Product Name]:[Product Price]],3,FALSE))</f>
        <v/>
      </c>
      <c r="G36" s="15" t="str">
        <f t="shared" si="3"/>
        <v/>
      </c>
      <c r="H36" s="25" t="str">
        <f t="shared" si="4"/>
        <v/>
      </c>
      <c r="I36" t="b">
        <f t="shared" si="2"/>
        <v>1</v>
      </c>
      <c r="J36" s="17"/>
    </row>
    <row r="37" spans="2:10" ht="15.75" hidden="1" thickBot="1" x14ac:dyDescent="0.3">
      <c r="B37" s="48"/>
      <c r="C37" s="60"/>
      <c r="D37" s="14" t="str">
        <f>IF(ISBLANK(Table4[[#This Row],[Product]]),"",VLOOKUP(Table4[[#This Row],[Product]],Table1[[#All],[Product Name]:[Product Price]],2,FALSE))</f>
        <v/>
      </c>
      <c r="E37" s="47"/>
      <c r="F37" s="15" t="str">
        <f>IF(ISBLANK(Table4[[#This Row],[Product]]),"",VLOOKUP(Table4[[#This Row],[Product]],Table1[[#All],[Product Name]:[Product Price]],3,FALSE))</f>
        <v/>
      </c>
      <c r="G37" s="15" t="str">
        <f t="shared" si="3"/>
        <v/>
      </c>
      <c r="H37" s="25" t="str">
        <f t="shared" si="4"/>
        <v/>
      </c>
      <c r="I37" t="b">
        <f t="shared" si="2"/>
        <v>1</v>
      </c>
      <c r="J37" s="17"/>
    </row>
    <row r="38" spans="2:10" ht="15.75" hidden="1" thickBot="1" x14ac:dyDescent="0.3">
      <c r="B38" s="48"/>
      <c r="C38" s="60"/>
      <c r="D38" s="14" t="str">
        <f>IF(ISBLANK(Table4[[#This Row],[Product]]),"",VLOOKUP(Table4[[#This Row],[Product]],Table1[[#All],[Product Name]:[Product Price]],2,FALSE))</f>
        <v/>
      </c>
      <c r="E38" s="47"/>
      <c r="F38" s="15" t="str">
        <f>IF(ISBLANK(Table4[[#This Row],[Product]]),"",VLOOKUP(Table4[[#This Row],[Product]],Table1[[#All],[Product Name]:[Product Price]],3,FALSE))</f>
        <v/>
      </c>
      <c r="G38" s="15" t="str">
        <f t="shared" si="3"/>
        <v/>
      </c>
      <c r="H38" s="25" t="str">
        <f t="shared" si="4"/>
        <v/>
      </c>
      <c r="I38" t="b">
        <f t="shared" si="2"/>
        <v>1</v>
      </c>
      <c r="J38" s="17"/>
    </row>
    <row r="39" spans="2:10" ht="15.75" hidden="1" thickBot="1" x14ac:dyDescent="0.3">
      <c r="B39" s="48"/>
      <c r="C39" s="60"/>
      <c r="D39" s="14" t="str">
        <f>IF(ISBLANK(Table4[[#This Row],[Product]]),"",VLOOKUP(Table4[[#This Row],[Product]],Table1[[#All],[Product Name]:[Product Price]],2,FALSE))</f>
        <v/>
      </c>
      <c r="E39" s="47"/>
      <c r="F39" s="15" t="str">
        <f>IF(ISBLANK(Table4[[#This Row],[Product]]),"",VLOOKUP(Table4[[#This Row],[Product]],Table1[[#All],[Product Name]:[Product Price]],3,FALSE))</f>
        <v/>
      </c>
      <c r="G39" s="15" t="str">
        <f t="shared" si="3"/>
        <v/>
      </c>
      <c r="H39" s="25" t="str">
        <f t="shared" si="4"/>
        <v/>
      </c>
      <c r="I39" t="b">
        <f t="shared" si="2"/>
        <v>1</v>
      </c>
      <c r="J39" s="17"/>
    </row>
    <row r="40" spans="2:10" ht="15.75" hidden="1" thickBot="1" x14ac:dyDescent="0.3">
      <c r="B40" s="48"/>
      <c r="C40" s="61"/>
      <c r="D40" s="14" t="str">
        <f>IF(ISBLANK(Table4[[#This Row],[Product]]),"",VLOOKUP(Table4[[#This Row],[Product]],Table1[[#All],[Product Name]:[Product Price]],2,FALSE))</f>
        <v/>
      </c>
      <c r="E40" s="62"/>
      <c r="F40" s="15" t="str">
        <f>IF(ISBLANK(Table4[[#This Row],[Product]]),"",VLOOKUP(Table4[[#This Row],[Product]],Table1[[#All],[Product Name]:[Product Price]],3,FALSE))</f>
        <v/>
      </c>
      <c r="G40" s="15" t="str">
        <f t="shared" si="3"/>
        <v/>
      </c>
      <c r="H40" s="25" t="str">
        <f t="shared" si="4"/>
        <v/>
      </c>
      <c r="I40" t="b">
        <f t="shared" si="2"/>
        <v>1</v>
      </c>
      <c r="J40" s="17"/>
    </row>
    <row r="41" spans="2:10" x14ac:dyDescent="0.25">
      <c r="B41" s="48"/>
      <c r="C41" s="63"/>
      <c r="D41" s="63"/>
      <c r="E41" s="63"/>
      <c r="F41" s="63"/>
      <c r="G41" s="63"/>
      <c r="H41" s="63"/>
      <c r="J41" s="17"/>
    </row>
    <row r="42" spans="2:10" x14ac:dyDescent="0.25">
      <c r="B42" s="48"/>
      <c r="C42" s="49" t="s">
        <v>21</v>
      </c>
      <c r="J42" s="17"/>
    </row>
    <row r="43" spans="2:10" x14ac:dyDescent="0.25">
      <c r="B43" s="48"/>
      <c r="C43" s="29" t="s">
        <v>379</v>
      </c>
      <c r="D43" s="30"/>
      <c r="G43" t="s">
        <v>17</v>
      </c>
      <c r="H43" s="22">
        <f>SUM(H11:H40)</f>
        <v>919.84000000000015</v>
      </c>
      <c r="J43" s="17"/>
    </row>
    <row r="44" spans="2:10" x14ac:dyDescent="0.25">
      <c r="B44" s="48"/>
      <c r="C44" s="31"/>
      <c r="D44" s="32"/>
      <c r="G44" t="s">
        <v>18</v>
      </c>
      <c r="H44" s="22">
        <f>SUM(G11:G40)</f>
        <v>183.96800000000002</v>
      </c>
      <c r="J44" s="17"/>
    </row>
    <row r="45" spans="2:10" x14ac:dyDescent="0.25">
      <c r="B45" s="48"/>
      <c r="C45" s="33"/>
      <c r="D45" s="34"/>
      <c r="G45" s="20" t="s">
        <v>19</v>
      </c>
      <c r="H45" s="23">
        <f>SUM(H43:H44)</f>
        <v>1103.8080000000002</v>
      </c>
      <c r="J45" s="17"/>
    </row>
    <row r="46" spans="2:10" ht="15.75" thickBot="1" x14ac:dyDescent="0.3">
      <c r="B46" s="50"/>
      <c r="C46" s="16"/>
      <c r="D46" s="16"/>
      <c r="E46" s="16"/>
      <c r="F46" s="16"/>
      <c r="G46" s="16"/>
      <c r="H46" s="16"/>
      <c r="J46" s="17"/>
    </row>
    <row r="47" spans="2:10" x14ac:dyDescent="0.25">
      <c r="B47" s="51"/>
      <c r="C47" s="52" t="s">
        <v>22</v>
      </c>
      <c r="D47" s="52"/>
      <c r="E47" s="52" t="s">
        <v>20</v>
      </c>
      <c r="F47" s="52"/>
      <c r="G47" s="21"/>
      <c r="H47" s="21"/>
      <c r="I47" s="21"/>
      <c r="J47" s="26"/>
    </row>
    <row r="48" spans="2:10" x14ac:dyDescent="0.25">
      <c r="B48" s="48"/>
      <c r="C48" t="s">
        <v>23</v>
      </c>
      <c r="D48" s="53">
        <v>14</v>
      </c>
      <c r="E48" t="s">
        <v>27</v>
      </c>
      <c r="G48" s="53" t="str">
        <f>VLOOKUP($D$5,'Customer Database'!A:G,6,FALSE)</f>
        <v>Bank of America</v>
      </c>
      <c r="H48" s="53"/>
      <c r="I48" s="53"/>
      <c r="J48" s="17"/>
    </row>
    <row r="49" spans="2:10" x14ac:dyDescent="0.25">
      <c r="B49" s="48"/>
      <c r="C49" t="s">
        <v>24</v>
      </c>
      <c r="D49" s="53" t="str">
        <f>VLOOKUP($D$5,'Customer Database'!A:G,5,FALSE)</f>
        <v>(456) 789-0123</v>
      </c>
      <c r="E49" t="s">
        <v>28</v>
      </c>
      <c r="G49" s="54">
        <f>VLOOKUP($D$5,'Customer Database'!A:G,7,FALSE)</f>
        <v>4567890123456</v>
      </c>
      <c r="H49" s="54"/>
      <c r="I49" s="54"/>
      <c r="J49" s="17"/>
    </row>
    <row r="50" spans="2:10" x14ac:dyDescent="0.25">
      <c r="B50" s="55"/>
      <c r="C50" s="18" t="s">
        <v>25</v>
      </c>
      <c r="D50" s="46" t="str">
        <f>VLOOKUP($D$5,'Customer Database'!A:G,4,FALSE)</f>
        <v>jsteel@oliveri.com</v>
      </c>
      <c r="E50" s="18" t="s">
        <v>26</v>
      </c>
      <c r="F50" s="18"/>
      <c r="G50" s="46"/>
      <c r="H50" s="46"/>
      <c r="I50" s="46"/>
      <c r="J50" s="19"/>
    </row>
  </sheetData>
  <mergeCells count="2">
    <mergeCell ref="B2:D2"/>
    <mergeCell ref="G2:H2"/>
  </mergeCells>
  <hyperlinks>
    <hyperlink ref="C8" r:id="rId1" xr:uid="{EF13B539-010F-4BA9-99E3-74E4C50CF5E0}"/>
    <hyperlink ref="D8" r:id="rId2" display="jsteel@oliveri.com" xr:uid="{72E3D4B4-E310-4927-B18E-3869866CAE21}"/>
  </hyperlinks>
  <pageMargins left="0.7" right="0.7" top="0.75" bottom="0.75" header="0.3" footer="0.3"/>
  <pageSetup scale="51" orientation="portrait" horizontalDpi="1200" verticalDpi="1200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244392-6DF1-488A-AE18-36BE47DBFD68}">
          <x14:formula1>
            <xm:f>'Customer Database'!$A$2:$A$1048576</xm:f>
          </x14:formula1>
          <xm:sqref>D5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F542B-01C4-4E49-92BD-E551D506CA08}">
  <sheetPr codeName="Sheet3"/>
  <dimension ref="A1:H31"/>
  <sheetViews>
    <sheetView workbookViewId="0">
      <selection activeCell="C35" sqref="C35"/>
    </sheetView>
  </sheetViews>
  <sheetFormatPr defaultRowHeight="15" x14ac:dyDescent="0.25"/>
  <cols>
    <col min="1" max="1" width="17.140625" customWidth="1"/>
    <col min="2" max="2" width="19" bestFit="1" customWidth="1"/>
    <col min="3" max="3" width="21.140625" bestFit="1" customWidth="1"/>
    <col min="4" max="4" width="32.28515625" bestFit="1" customWidth="1"/>
    <col min="5" max="5" width="13.7109375" bestFit="1" customWidth="1"/>
    <col min="6" max="6" width="15.42578125" bestFit="1" customWidth="1"/>
    <col min="7" max="7" width="28.140625" customWidth="1"/>
    <col min="8" max="8" width="16" bestFit="1" customWidth="1"/>
  </cols>
  <sheetData>
    <row r="1" spans="1:8" x14ac:dyDescent="0.25">
      <c r="A1" t="s">
        <v>237</v>
      </c>
      <c r="B1" t="s">
        <v>238</v>
      </c>
      <c r="C1" t="s">
        <v>239</v>
      </c>
      <c r="D1" t="s">
        <v>240</v>
      </c>
      <c r="E1" t="s">
        <v>241</v>
      </c>
      <c r="F1" t="s">
        <v>242</v>
      </c>
      <c r="G1" t="s">
        <v>28</v>
      </c>
      <c r="H1" t="s">
        <v>35</v>
      </c>
    </row>
    <row r="2" spans="1:8" x14ac:dyDescent="0.25">
      <c r="A2" t="s">
        <v>243</v>
      </c>
      <c r="B2" t="s">
        <v>244</v>
      </c>
      <c r="C2" t="s">
        <v>8</v>
      </c>
      <c r="D2" s="40" t="s">
        <v>245</v>
      </c>
      <c r="E2" t="s">
        <v>246</v>
      </c>
      <c r="F2" t="s">
        <v>247</v>
      </c>
      <c r="G2" s="41">
        <v>1234567890123</v>
      </c>
      <c r="H2">
        <v>1</v>
      </c>
    </row>
    <row r="3" spans="1:8" x14ac:dyDescent="0.25">
      <c r="A3" t="s">
        <v>248</v>
      </c>
      <c r="B3" t="s">
        <v>249</v>
      </c>
      <c r="C3" t="s">
        <v>250</v>
      </c>
      <c r="D3" s="40" t="s">
        <v>251</v>
      </c>
      <c r="E3" t="s">
        <v>252</v>
      </c>
      <c r="F3" t="s">
        <v>253</v>
      </c>
      <c r="G3" s="41">
        <v>2345678901234</v>
      </c>
      <c r="H3">
        <v>2</v>
      </c>
    </row>
    <row r="4" spans="1:8" x14ac:dyDescent="0.25">
      <c r="A4" t="s">
        <v>254</v>
      </c>
      <c r="B4" t="s">
        <v>255</v>
      </c>
      <c r="C4" t="s">
        <v>256</v>
      </c>
      <c r="D4" s="40" t="s">
        <v>257</v>
      </c>
      <c r="E4" t="s">
        <v>258</v>
      </c>
      <c r="F4" t="s">
        <v>259</v>
      </c>
      <c r="G4" s="41">
        <v>3456789012345</v>
      </c>
      <c r="H4">
        <v>3</v>
      </c>
    </row>
    <row r="5" spans="1:8" x14ac:dyDescent="0.25">
      <c r="A5" t="s">
        <v>260</v>
      </c>
      <c r="B5" t="s">
        <v>261</v>
      </c>
      <c r="C5" t="s">
        <v>262</v>
      </c>
      <c r="D5" s="40" t="s">
        <v>263</v>
      </c>
      <c r="E5" t="s">
        <v>264</v>
      </c>
      <c r="F5" t="s">
        <v>265</v>
      </c>
      <c r="G5" s="41">
        <v>4567890123456</v>
      </c>
      <c r="H5">
        <v>4</v>
      </c>
    </row>
    <row r="6" spans="1:8" x14ac:dyDescent="0.25">
      <c r="A6" t="s">
        <v>266</v>
      </c>
      <c r="B6" t="s">
        <v>267</v>
      </c>
      <c r="C6" t="s">
        <v>268</v>
      </c>
      <c r="D6" s="40" t="s">
        <v>269</v>
      </c>
      <c r="E6" t="s">
        <v>270</v>
      </c>
      <c r="F6" t="s">
        <v>271</v>
      </c>
      <c r="G6" s="41">
        <v>5678901234567</v>
      </c>
      <c r="H6">
        <v>5</v>
      </c>
    </row>
    <row r="7" spans="1:8" x14ac:dyDescent="0.25">
      <c r="A7" t="s">
        <v>272</v>
      </c>
      <c r="B7" t="s">
        <v>273</v>
      </c>
      <c r="C7" t="s">
        <v>274</v>
      </c>
      <c r="D7" s="40" t="s">
        <v>275</v>
      </c>
      <c r="E7" t="s">
        <v>276</v>
      </c>
      <c r="F7" t="s">
        <v>277</v>
      </c>
      <c r="G7" s="41">
        <v>6789012345678</v>
      </c>
      <c r="H7">
        <v>6</v>
      </c>
    </row>
    <row r="8" spans="1:8" x14ac:dyDescent="0.25">
      <c r="A8" t="s">
        <v>278</v>
      </c>
      <c r="B8" t="s">
        <v>279</v>
      </c>
      <c r="C8" t="s">
        <v>280</v>
      </c>
      <c r="D8" s="40" t="s">
        <v>281</v>
      </c>
      <c r="E8" t="s">
        <v>282</v>
      </c>
      <c r="F8" t="s">
        <v>283</v>
      </c>
      <c r="G8" s="41">
        <v>7890123456789</v>
      </c>
      <c r="H8">
        <v>7</v>
      </c>
    </row>
    <row r="9" spans="1:8" x14ac:dyDescent="0.25">
      <c r="A9" t="s">
        <v>284</v>
      </c>
      <c r="B9" t="s">
        <v>285</v>
      </c>
      <c r="C9" t="s">
        <v>286</v>
      </c>
      <c r="D9" s="40" t="s">
        <v>287</v>
      </c>
      <c r="E9" t="s">
        <v>288</v>
      </c>
      <c r="F9" t="s">
        <v>289</v>
      </c>
      <c r="G9" s="41">
        <v>8901234567890</v>
      </c>
      <c r="H9">
        <v>8</v>
      </c>
    </row>
    <row r="10" spans="1:8" x14ac:dyDescent="0.25">
      <c r="A10" t="s">
        <v>290</v>
      </c>
      <c r="B10" t="s">
        <v>291</v>
      </c>
      <c r="C10" t="s">
        <v>292</v>
      </c>
      <c r="D10" s="40" t="s">
        <v>293</v>
      </c>
      <c r="E10" t="s">
        <v>294</v>
      </c>
      <c r="F10" t="s">
        <v>295</v>
      </c>
      <c r="G10" s="41">
        <v>9012345678901</v>
      </c>
      <c r="H10">
        <v>9</v>
      </c>
    </row>
    <row r="11" spans="1:8" x14ac:dyDescent="0.25">
      <c r="A11" t="s">
        <v>296</v>
      </c>
      <c r="B11" t="s">
        <v>297</v>
      </c>
      <c r="C11" t="s">
        <v>298</v>
      </c>
      <c r="D11" s="40" t="s">
        <v>299</v>
      </c>
      <c r="E11" t="s">
        <v>300</v>
      </c>
      <c r="F11" t="s">
        <v>301</v>
      </c>
      <c r="G11" s="41">
        <v>123456789012</v>
      </c>
      <c r="H11">
        <v>10</v>
      </c>
    </row>
    <row r="12" spans="1:8" x14ac:dyDescent="0.25">
      <c r="A12" t="s">
        <v>302</v>
      </c>
      <c r="B12" t="s">
        <v>303</v>
      </c>
      <c r="C12" t="s">
        <v>304</v>
      </c>
      <c r="D12" s="40" t="s">
        <v>305</v>
      </c>
      <c r="E12" t="s">
        <v>246</v>
      </c>
      <c r="F12" t="s">
        <v>306</v>
      </c>
      <c r="G12" s="41">
        <v>1234567890123</v>
      </c>
      <c r="H12">
        <v>11</v>
      </c>
    </row>
    <row r="13" spans="1:8" x14ac:dyDescent="0.25">
      <c r="A13" t="s">
        <v>307</v>
      </c>
      <c r="B13" t="s">
        <v>308</v>
      </c>
      <c r="C13" t="s">
        <v>309</v>
      </c>
      <c r="D13" s="40" t="s">
        <v>310</v>
      </c>
      <c r="E13" t="s">
        <v>252</v>
      </c>
      <c r="F13" t="s">
        <v>311</v>
      </c>
      <c r="G13" s="41">
        <v>2345678901234</v>
      </c>
      <c r="H13">
        <v>12</v>
      </c>
    </row>
    <row r="14" spans="1:8" x14ac:dyDescent="0.25">
      <c r="A14" t="s">
        <v>312</v>
      </c>
      <c r="B14" t="s">
        <v>313</v>
      </c>
      <c r="C14" t="s">
        <v>314</v>
      </c>
      <c r="D14" s="40" t="s">
        <v>315</v>
      </c>
      <c r="E14" t="s">
        <v>258</v>
      </c>
      <c r="F14" t="s">
        <v>316</v>
      </c>
      <c r="G14" s="41">
        <v>3456789012345</v>
      </c>
      <c r="H14">
        <v>13</v>
      </c>
    </row>
    <row r="15" spans="1:8" x14ac:dyDescent="0.25">
      <c r="A15" t="s">
        <v>317</v>
      </c>
      <c r="B15" t="s">
        <v>318</v>
      </c>
      <c r="C15" t="s">
        <v>319</v>
      </c>
      <c r="D15" s="40" t="s">
        <v>320</v>
      </c>
      <c r="E15" t="s">
        <v>264</v>
      </c>
      <c r="F15" t="s">
        <v>253</v>
      </c>
      <c r="G15" s="41">
        <v>4567890123456</v>
      </c>
      <c r="H15">
        <v>14</v>
      </c>
    </row>
    <row r="16" spans="1:8" x14ac:dyDescent="0.25">
      <c r="A16" t="s">
        <v>321</v>
      </c>
      <c r="B16" t="s">
        <v>322</v>
      </c>
      <c r="C16" t="s">
        <v>323</v>
      </c>
      <c r="D16" s="40" t="s">
        <v>324</v>
      </c>
      <c r="E16" t="s">
        <v>270</v>
      </c>
      <c r="F16" t="s">
        <v>259</v>
      </c>
      <c r="G16" s="41">
        <v>5678901234567</v>
      </c>
      <c r="H16">
        <v>15</v>
      </c>
    </row>
    <row r="17" spans="1:8" x14ac:dyDescent="0.25">
      <c r="A17" t="s">
        <v>325</v>
      </c>
      <c r="B17" t="s">
        <v>326</v>
      </c>
      <c r="C17" t="s">
        <v>327</v>
      </c>
      <c r="D17" s="40" t="s">
        <v>328</v>
      </c>
      <c r="E17" t="s">
        <v>276</v>
      </c>
      <c r="F17" t="s">
        <v>271</v>
      </c>
      <c r="G17" s="41">
        <v>6789012345678</v>
      </c>
      <c r="H17">
        <v>16</v>
      </c>
    </row>
    <row r="18" spans="1:8" x14ac:dyDescent="0.25">
      <c r="A18" t="s">
        <v>329</v>
      </c>
      <c r="B18" t="s">
        <v>330</v>
      </c>
      <c r="C18" t="s">
        <v>331</v>
      </c>
      <c r="D18" s="40" t="s">
        <v>332</v>
      </c>
      <c r="E18" t="s">
        <v>282</v>
      </c>
      <c r="F18" t="s">
        <v>277</v>
      </c>
      <c r="G18" s="41">
        <v>7890123456789</v>
      </c>
      <c r="H18">
        <v>17</v>
      </c>
    </row>
    <row r="19" spans="1:8" x14ac:dyDescent="0.25">
      <c r="A19" t="s">
        <v>333</v>
      </c>
      <c r="B19" t="s">
        <v>334</v>
      </c>
      <c r="C19" t="s">
        <v>335</v>
      </c>
      <c r="D19" s="40" t="s">
        <v>336</v>
      </c>
      <c r="E19" t="s">
        <v>288</v>
      </c>
      <c r="F19" t="s">
        <v>283</v>
      </c>
      <c r="G19" s="41">
        <v>8901234567890</v>
      </c>
      <c r="H19">
        <v>18</v>
      </c>
    </row>
    <row r="20" spans="1:8" x14ac:dyDescent="0.25">
      <c r="A20" t="s">
        <v>337</v>
      </c>
      <c r="B20" t="s">
        <v>338</v>
      </c>
      <c r="C20" t="s">
        <v>339</v>
      </c>
      <c r="D20" s="40" t="s">
        <v>340</v>
      </c>
      <c r="E20" t="s">
        <v>294</v>
      </c>
      <c r="F20" t="s">
        <v>289</v>
      </c>
      <c r="G20" s="41">
        <v>9012345678901</v>
      </c>
      <c r="H20">
        <v>19</v>
      </c>
    </row>
    <row r="21" spans="1:8" x14ac:dyDescent="0.25">
      <c r="A21" t="s">
        <v>341</v>
      </c>
      <c r="B21" t="s">
        <v>342</v>
      </c>
      <c r="C21" t="s">
        <v>343</v>
      </c>
      <c r="D21" s="40" t="s">
        <v>344</v>
      </c>
      <c r="E21" t="s">
        <v>300</v>
      </c>
      <c r="F21" t="s">
        <v>295</v>
      </c>
      <c r="G21" s="41">
        <v>123456789012</v>
      </c>
      <c r="H21">
        <v>20</v>
      </c>
    </row>
    <row r="22" spans="1:8" x14ac:dyDescent="0.25">
      <c r="A22" t="s">
        <v>345</v>
      </c>
      <c r="B22" t="s">
        <v>346</v>
      </c>
      <c r="C22" t="s">
        <v>347</v>
      </c>
      <c r="D22" s="40" t="s">
        <v>348</v>
      </c>
      <c r="E22" t="s">
        <v>246</v>
      </c>
      <c r="F22" t="s">
        <v>301</v>
      </c>
      <c r="G22" s="41">
        <v>1234567890123</v>
      </c>
      <c r="H22">
        <v>21</v>
      </c>
    </row>
    <row r="23" spans="1:8" x14ac:dyDescent="0.25">
      <c r="A23" t="s">
        <v>349</v>
      </c>
      <c r="B23" t="s">
        <v>350</v>
      </c>
      <c r="C23" t="s">
        <v>319</v>
      </c>
      <c r="D23" s="40" t="s">
        <v>351</v>
      </c>
      <c r="E23" t="s">
        <v>252</v>
      </c>
      <c r="F23" t="s">
        <v>306</v>
      </c>
      <c r="G23" s="41">
        <v>2345678901234</v>
      </c>
      <c r="H23">
        <v>22</v>
      </c>
    </row>
    <row r="24" spans="1:8" x14ac:dyDescent="0.25">
      <c r="A24" t="s">
        <v>352</v>
      </c>
      <c r="B24" t="s">
        <v>353</v>
      </c>
      <c r="C24" t="s">
        <v>354</v>
      </c>
      <c r="D24" s="40" t="s">
        <v>355</v>
      </c>
      <c r="E24" t="s">
        <v>258</v>
      </c>
      <c r="F24" t="s">
        <v>311</v>
      </c>
      <c r="G24" s="41">
        <v>3456789012345</v>
      </c>
      <c r="H24">
        <v>23</v>
      </c>
    </row>
    <row r="25" spans="1:8" x14ac:dyDescent="0.25">
      <c r="A25" t="s">
        <v>356</v>
      </c>
      <c r="B25" t="s">
        <v>357</v>
      </c>
      <c r="C25" t="s">
        <v>323</v>
      </c>
      <c r="D25" s="40" t="s">
        <v>358</v>
      </c>
      <c r="E25" t="s">
        <v>264</v>
      </c>
      <c r="F25" t="s">
        <v>316</v>
      </c>
      <c r="G25" s="41">
        <v>4567890123456</v>
      </c>
      <c r="H25">
        <v>24</v>
      </c>
    </row>
    <row r="26" spans="1:8" x14ac:dyDescent="0.25">
      <c r="A26" t="s">
        <v>359</v>
      </c>
      <c r="B26" t="s">
        <v>360</v>
      </c>
      <c r="C26" t="s">
        <v>361</v>
      </c>
      <c r="D26" s="40" t="s">
        <v>362</v>
      </c>
      <c r="E26" t="s">
        <v>270</v>
      </c>
      <c r="F26" t="s">
        <v>253</v>
      </c>
      <c r="G26" s="41">
        <v>5678901234567</v>
      </c>
      <c r="H26">
        <v>25</v>
      </c>
    </row>
    <row r="27" spans="1:8" x14ac:dyDescent="0.25">
      <c r="A27" t="s">
        <v>363</v>
      </c>
      <c r="B27" t="s">
        <v>364</v>
      </c>
      <c r="C27" t="s">
        <v>365</v>
      </c>
      <c r="D27" s="40" t="s">
        <v>366</v>
      </c>
      <c r="E27" t="s">
        <v>276</v>
      </c>
      <c r="F27" t="s">
        <v>259</v>
      </c>
      <c r="G27" s="41">
        <v>6789012345678</v>
      </c>
      <c r="H27">
        <v>26</v>
      </c>
    </row>
    <row r="28" spans="1:8" x14ac:dyDescent="0.25">
      <c r="A28" t="s">
        <v>367</v>
      </c>
      <c r="B28" t="s">
        <v>368</v>
      </c>
      <c r="C28" t="s">
        <v>369</v>
      </c>
      <c r="D28" s="40" t="s">
        <v>370</v>
      </c>
      <c r="E28" t="s">
        <v>282</v>
      </c>
      <c r="F28" t="s">
        <v>271</v>
      </c>
      <c r="G28" s="41">
        <v>7890123456789</v>
      </c>
      <c r="H28">
        <v>27</v>
      </c>
    </row>
    <row r="29" spans="1:8" x14ac:dyDescent="0.25">
      <c r="A29" t="s">
        <v>371</v>
      </c>
      <c r="B29" t="s">
        <v>372</v>
      </c>
      <c r="C29" t="s">
        <v>373</v>
      </c>
      <c r="D29" s="40" t="s">
        <v>374</v>
      </c>
      <c r="E29" t="s">
        <v>288</v>
      </c>
      <c r="F29" t="s">
        <v>277</v>
      </c>
      <c r="G29" s="41">
        <v>8901234567890</v>
      </c>
      <c r="H29">
        <v>28</v>
      </c>
    </row>
    <row r="30" spans="1:8" x14ac:dyDescent="0.25">
      <c r="A30" t="s">
        <v>375</v>
      </c>
      <c r="B30" t="s">
        <v>376</v>
      </c>
      <c r="C30" t="s">
        <v>377</v>
      </c>
      <c r="D30" s="40" t="s">
        <v>378</v>
      </c>
      <c r="E30" t="s">
        <v>294</v>
      </c>
      <c r="F30" t="s">
        <v>283</v>
      </c>
      <c r="G30" s="41">
        <v>9012345678901</v>
      </c>
      <c r="H30">
        <v>29</v>
      </c>
    </row>
    <row r="31" spans="1:8" x14ac:dyDescent="0.25">
      <c r="A31" t="s">
        <v>0</v>
      </c>
      <c r="B31" s="2" t="s">
        <v>7</v>
      </c>
      <c r="C31" s="2" t="s">
        <v>8</v>
      </c>
      <c r="D31" s="40" t="s">
        <v>395</v>
      </c>
      <c r="E31" t="s">
        <v>300</v>
      </c>
      <c r="F31" t="s">
        <v>289</v>
      </c>
      <c r="G31" s="41">
        <v>123456789012</v>
      </c>
      <c r="H31">
        <v>30</v>
      </c>
    </row>
  </sheetData>
  <hyperlinks>
    <hyperlink ref="D15" r:id="rId1" xr:uid="{412D56C7-A11A-42BA-A723-763F40D40ADD}"/>
    <hyperlink ref="D16" r:id="rId2" xr:uid="{76DFF915-6272-45FC-A647-5B77518081EC}"/>
    <hyperlink ref="D14" r:id="rId3" xr:uid="{3E288CBE-1D99-43E1-B067-9635D582FEEC}"/>
    <hyperlink ref="D13" r:id="rId4" xr:uid="{99375873-4CE3-444F-9DA6-937BC00EF747}"/>
    <hyperlink ref="D12" r:id="rId5" xr:uid="{76553AE9-6941-42D8-AD1A-F1C2CB712E62}"/>
    <hyperlink ref="D11" r:id="rId6" xr:uid="{F3698F31-9B11-4796-9641-419B4668EEC7}"/>
    <hyperlink ref="D10" r:id="rId7" xr:uid="{473105BB-B05B-4664-AE87-E2869DA1F08C}"/>
    <hyperlink ref="D9" r:id="rId8" xr:uid="{6DB9E411-6666-420B-AC37-CE589CC87998}"/>
    <hyperlink ref="D8" r:id="rId9" xr:uid="{87ACE47E-98FD-4C08-ABE9-CA357CCDA52C}"/>
    <hyperlink ref="D7" r:id="rId10" xr:uid="{12185DBA-507A-47D6-AC1D-9811F307FE12}"/>
    <hyperlink ref="D6" r:id="rId11" xr:uid="{04F190DA-E79C-4EDA-850B-39D5C8C86CB4}"/>
    <hyperlink ref="D5" r:id="rId12" xr:uid="{94334836-F9A2-4498-A9F5-42F4A39282A1}"/>
    <hyperlink ref="D4" r:id="rId13" xr:uid="{BFCEEB19-9339-4454-809A-3F7D00F5C39C}"/>
    <hyperlink ref="D3" r:id="rId14" xr:uid="{431AE0A4-438D-4A75-8450-3B413354E7A4}"/>
    <hyperlink ref="D2" r:id="rId15" xr:uid="{153607C7-1698-423C-840C-2D8DD6065E66}"/>
    <hyperlink ref="D17" r:id="rId16" xr:uid="{273C82E0-5C71-446A-A542-FA2B3BA8F358}"/>
    <hyperlink ref="D18" r:id="rId17" xr:uid="{2DE113AB-BE00-43EB-BD86-969F4DA006D4}"/>
    <hyperlink ref="D19" r:id="rId18" xr:uid="{799A625A-FE54-40FE-8037-77FA46FDB07C}"/>
    <hyperlink ref="D20" r:id="rId19" xr:uid="{489C1484-1274-4998-B69B-814F7911A6A1}"/>
    <hyperlink ref="D21" r:id="rId20" xr:uid="{3CB52605-26B2-48DF-88C1-959CE894AA0E}"/>
    <hyperlink ref="D22" r:id="rId21" xr:uid="{9EB71263-4618-4CDD-AE5C-242B7931E765}"/>
    <hyperlink ref="D23" r:id="rId22" xr:uid="{E913D977-4A7E-4AE1-8BDA-6A11F69ED391}"/>
    <hyperlink ref="D24" r:id="rId23" xr:uid="{EBA2C44A-0A67-4E16-A30C-7519429B942E}"/>
    <hyperlink ref="D25" r:id="rId24" xr:uid="{71B306EE-747D-4077-ADE7-E9A67E39FA0A}"/>
    <hyperlink ref="D26" r:id="rId25" xr:uid="{FE5F6C32-350F-4B6D-BAAC-A1D6271AACCB}"/>
    <hyperlink ref="D27" r:id="rId26" xr:uid="{0871C681-0FFC-4121-A5C5-F8F24455DB60}"/>
    <hyperlink ref="D28" r:id="rId27" xr:uid="{F5F7DD77-8EFE-4684-8C22-9CB01522DB40}"/>
    <hyperlink ref="D29" r:id="rId28" xr:uid="{4001339D-7814-430F-BCB5-71A711CB21E9}"/>
    <hyperlink ref="D30" r:id="rId29" xr:uid="{CEF5BBD9-65E6-4433-B05C-7B5791AACEBD}"/>
    <hyperlink ref="D31" r:id="rId30" xr:uid="{309D56DA-5300-481C-8155-0FE5732DB49D}"/>
  </hyperlinks>
  <pageMargins left="0.7" right="0.7" top="0.75" bottom="0.75" header="0.3" footer="0.3"/>
  <tableParts count="1">
    <tablePart r:id="rId3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B90C2-A299-4338-918D-3CB0F058925B}">
  <sheetPr codeName="Sheet4"/>
  <dimension ref="A1:D101"/>
  <sheetViews>
    <sheetView topLeftCell="A83" workbookViewId="0">
      <selection activeCell="B15" sqref="B15:D15"/>
    </sheetView>
  </sheetViews>
  <sheetFormatPr defaultRowHeight="15" x14ac:dyDescent="0.25"/>
  <cols>
    <col min="2" max="2" width="15.7109375" customWidth="1"/>
    <col min="3" max="3" width="72.5703125" customWidth="1"/>
    <col min="4" max="4" width="14.85546875" customWidth="1"/>
  </cols>
  <sheetData>
    <row r="1" spans="1:4" x14ac:dyDescent="0.25">
      <c r="A1" t="s">
        <v>35</v>
      </c>
      <c r="B1" t="s">
        <v>36</v>
      </c>
      <c r="C1" t="s">
        <v>37</v>
      </c>
      <c r="D1" t="s">
        <v>38</v>
      </c>
    </row>
    <row r="2" spans="1:4" ht="30" x14ac:dyDescent="0.25">
      <c r="A2">
        <v>1</v>
      </c>
      <c r="B2" t="s">
        <v>39</v>
      </c>
      <c r="C2" s="35" t="s">
        <v>40</v>
      </c>
      <c r="D2" s="22">
        <v>4.99</v>
      </c>
    </row>
    <row r="3" spans="1:4" ht="30" x14ac:dyDescent="0.25">
      <c r="A3">
        <v>2</v>
      </c>
      <c r="B3" t="s">
        <v>41</v>
      </c>
      <c r="C3" s="35" t="s">
        <v>42</v>
      </c>
      <c r="D3" s="22">
        <v>39.99</v>
      </c>
    </row>
    <row r="4" spans="1:4" ht="30" x14ac:dyDescent="0.25">
      <c r="A4">
        <v>3</v>
      </c>
      <c r="B4" t="s">
        <v>43</v>
      </c>
      <c r="C4" s="35" t="s">
        <v>44</v>
      </c>
      <c r="D4" s="22">
        <v>9.99</v>
      </c>
    </row>
    <row r="5" spans="1:4" ht="30" x14ac:dyDescent="0.25">
      <c r="A5">
        <v>4</v>
      </c>
      <c r="B5" t="s">
        <v>45</v>
      </c>
      <c r="C5" s="35" t="s">
        <v>46</v>
      </c>
      <c r="D5" s="22">
        <v>19.989999999999998</v>
      </c>
    </row>
    <row r="6" spans="1:4" ht="30" x14ac:dyDescent="0.25">
      <c r="A6">
        <v>5</v>
      </c>
      <c r="B6" t="s">
        <v>47</v>
      </c>
      <c r="C6" s="35" t="s">
        <v>48</v>
      </c>
      <c r="D6" s="22">
        <v>14.99</v>
      </c>
    </row>
    <row r="7" spans="1:4" ht="30" x14ac:dyDescent="0.25">
      <c r="A7">
        <v>6</v>
      </c>
      <c r="B7" t="s">
        <v>49</v>
      </c>
      <c r="C7" s="35" t="s">
        <v>50</v>
      </c>
      <c r="D7" s="22">
        <v>24.99</v>
      </c>
    </row>
    <row r="8" spans="1:4" ht="30" x14ac:dyDescent="0.25">
      <c r="A8">
        <v>7</v>
      </c>
      <c r="B8" t="s">
        <v>51</v>
      </c>
      <c r="C8" s="35" t="s">
        <v>52</v>
      </c>
      <c r="D8" s="22">
        <v>12.99</v>
      </c>
    </row>
    <row r="9" spans="1:4" ht="30" x14ac:dyDescent="0.25">
      <c r="A9">
        <v>8</v>
      </c>
      <c r="B9" t="s">
        <v>53</v>
      </c>
      <c r="C9" s="35" t="s">
        <v>54</v>
      </c>
      <c r="D9" s="22">
        <v>29.99</v>
      </c>
    </row>
    <row r="10" spans="1:4" ht="30" x14ac:dyDescent="0.25">
      <c r="A10">
        <v>9</v>
      </c>
      <c r="B10" t="s">
        <v>55</v>
      </c>
      <c r="C10" s="35" t="s">
        <v>56</v>
      </c>
      <c r="D10" s="22">
        <v>19.989999999999998</v>
      </c>
    </row>
    <row r="11" spans="1:4" ht="30" x14ac:dyDescent="0.25">
      <c r="A11">
        <v>10</v>
      </c>
      <c r="B11" t="s">
        <v>57</v>
      </c>
      <c r="C11" s="35" t="s">
        <v>58</v>
      </c>
      <c r="D11" s="22">
        <v>49.99</v>
      </c>
    </row>
    <row r="12" spans="1:4" ht="30" x14ac:dyDescent="0.25">
      <c r="A12">
        <v>11</v>
      </c>
      <c r="B12" t="s">
        <v>59</v>
      </c>
      <c r="C12" s="35" t="s">
        <v>60</v>
      </c>
      <c r="D12" s="22">
        <v>16.989999999999998</v>
      </c>
    </row>
    <row r="13" spans="1:4" ht="30" x14ac:dyDescent="0.25">
      <c r="A13">
        <v>12</v>
      </c>
      <c r="B13" t="s">
        <v>61</v>
      </c>
      <c r="C13" s="35" t="s">
        <v>62</v>
      </c>
      <c r="D13" s="22">
        <v>10.99</v>
      </c>
    </row>
    <row r="14" spans="1:4" ht="30" x14ac:dyDescent="0.25">
      <c r="A14">
        <v>13</v>
      </c>
      <c r="B14" t="s">
        <v>63</v>
      </c>
      <c r="C14" s="35" t="s">
        <v>64</v>
      </c>
      <c r="D14" s="22">
        <v>29.99</v>
      </c>
    </row>
    <row r="15" spans="1:4" ht="30" x14ac:dyDescent="0.25">
      <c r="A15">
        <v>14</v>
      </c>
      <c r="B15" t="s">
        <v>65</v>
      </c>
      <c r="C15" s="35" t="s">
        <v>66</v>
      </c>
      <c r="D15" s="22">
        <v>49.99</v>
      </c>
    </row>
    <row r="16" spans="1:4" ht="30" x14ac:dyDescent="0.25">
      <c r="A16">
        <v>15</v>
      </c>
      <c r="B16" t="s">
        <v>67</v>
      </c>
      <c r="C16" s="35" t="s">
        <v>68</v>
      </c>
      <c r="D16" s="22">
        <v>69.989999999999995</v>
      </c>
    </row>
    <row r="17" spans="1:4" ht="30" x14ac:dyDescent="0.25">
      <c r="A17">
        <v>16</v>
      </c>
      <c r="B17" t="s">
        <v>69</v>
      </c>
      <c r="C17" s="35" t="s">
        <v>70</v>
      </c>
      <c r="D17" s="22">
        <v>34.99</v>
      </c>
    </row>
    <row r="18" spans="1:4" ht="30" x14ac:dyDescent="0.25">
      <c r="A18">
        <v>17</v>
      </c>
      <c r="B18" t="s">
        <v>71</v>
      </c>
      <c r="C18" s="35" t="s">
        <v>72</v>
      </c>
      <c r="D18" s="22">
        <v>24.99</v>
      </c>
    </row>
    <row r="19" spans="1:4" ht="30" x14ac:dyDescent="0.25">
      <c r="A19">
        <v>18</v>
      </c>
      <c r="B19" t="s">
        <v>73</v>
      </c>
      <c r="C19" s="35" t="s">
        <v>74</v>
      </c>
      <c r="D19" s="22">
        <v>29.99</v>
      </c>
    </row>
    <row r="20" spans="1:4" ht="30" x14ac:dyDescent="0.25">
      <c r="A20">
        <v>19</v>
      </c>
      <c r="B20" t="s">
        <v>75</v>
      </c>
      <c r="C20" s="35" t="s">
        <v>76</v>
      </c>
      <c r="D20" s="22">
        <v>59.99</v>
      </c>
    </row>
    <row r="21" spans="1:4" ht="30" x14ac:dyDescent="0.25">
      <c r="A21">
        <v>20</v>
      </c>
      <c r="B21" t="s">
        <v>77</v>
      </c>
      <c r="C21" s="35" t="s">
        <v>78</v>
      </c>
      <c r="D21" s="22">
        <v>89.99</v>
      </c>
    </row>
    <row r="22" spans="1:4" ht="30" x14ac:dyDescent="0.25">
      <c r="A22">
        <v>21</v>
      </c>
      <c r="B22" t="s">
        <v>79</v>
      </c>
      <c r="C22" s="35" t="s">
        <v>80</v>
      </c>
      <c r="D22" s="22">
        <v>17.989999999999998</v>
      </c>
    </row>
    <row r="23" spans="1:4" ht="30" x14ac:dyDescent="0.25">
      <c r="A23">
        <v>22</v>
      </c>
      <c r="B23" t="s">
        <v>81</v>
      </c>
      <c r="C23" s="35" t="s">
        <v>82</v>
      </c>
      <c r="D23" s="22">
        <v>69.989999999999995</v>
      </c>
    </row>
    <row r="24" spans="1:4" ht="30" x14ac:dyDescent="0.25">
      <c r="A24">
        <v>23</v>
      </c>
      <c r="B24" t="s">
        <v>83</v>
      </c>
      <c r="C24" s="35" t="s">
        <v>84</v>
      </c>
      <c r="D24" s="22">
        <v>59.99</v>
      </c>
    </row>
    <row r="25" spans="1:4" ht="30" x14ac:dyDescent="0.25">
      <c r="A25">
        <v>24</v>
      </c>
      <c r="B25" t="s">
        <v>85</v>
      </c>
      <c r="C25" s="35" t="s">
        <v>86</v>
      </c>
      <c r="D25" s="22">
        <v>99.99</v>
      </c>
    </row>
    <row r="26" spans="1:4" ht="30" x14ac:dyDescent="0.25">
      <c r="A26">
        <v>25</v>
      </c>
      <c r="B26" t="s">
        <v>87</v>
      </c>
      <c r="C26" s="35" t="s">
        <v>88</v>
      </c>
      <c r="D26" s="22">
        <v>79.989999999999995</v>
      </c>
    </row>
    <row r="27" spans="1:4" ht="30" x14ac:dyDescent="0.25">
      <c r="A27">
        <v>26</v>
      </c>
      <c r="B27" t="s">
        <v>89</v>
      </c>
      <c r="C27" s="35" t="s">
        <v>90</v>
      </c>
      <c r="D27" s="22">
        <v>89.99</v>
      </c>
    </row>
    <row r="28" spans="1:4" ht="30" x14ac:dyDescent="0.25">
      <c r="A28">
        <v>27</v>
      </c>
      <c r="B28" t="s">
        <v>91</v>
      </c>
      <c r="C28" s="35" t="s">
        <v>92</v>
      </c>
      <c r="D28" s="22">
        <v>129.99</v>
      </c>
    </row>
    <row r="29" spans="1:4" ht="30" x14ac:dyDescent="0.25">
      <c r="A29">
        <v>28</v>
      </c>
      <c r="B29" t="s">
        <v>93</v>
      </c>
      <c r="C29" s="35" t="s">
        <v>94</v>
      </c>
      <c r="D29" s="22">
        <v>49.99</v>
      </c>
    </row>
    <row r="30" spans="1:4" ht="30" x14ac:dyDescent="0.25">
      <c r="A30">
        <v>29</v>
      </c>
      <c r="B30" t="s">
        <v>95</v>
      </c>
      <c r="C30" s="35" t="s">
        <v>96</v>
      </c>
      <c r="D30" s="22">
        <v>139.99</v>
      </c>
    </row>
    <row r="31" spans="1:4" ht="30" x14ac:dyDescent="0.25">
      <c r="A31">
        <v>30</v>
      </c>
      <c r="B31" t="s">
        <v>97</v>
      </c>
      <c r="C31" s="35" t="s">
        <v>98</v>
      </c>
      <c r="D31" s="22">
        <v>99.99</v>
      </c>
    </row>
    <row r="32" spans="1:4" ht="30" x14ac:dyDescent="0.25">
      <c r="A32">
        <v>31</v>
      </c>
      <c r="B32" t="s">
        <v>99</v>
      </c>
      <c r="C32" s="35" t="s">
        <v>100</v>
      </c>
      <c r="D32" s="22">
        <v>59.99</v>
      </c>
    </row>
    <row r="33" spans="1:4" ht="30" x14ac:dyDescent="0.25">
      <c r="A33">
        <v>32</v>
      </c>
      <c r="B33" t="s">
        <v>101</v>
      </c>
      <c r="C33" s="35" t="s">
        <v>102</v>
      </c>
      <c r="D33" s="22">
        <v>29.99</v>
      </c>
    </row>
    <row r="34" spans="1:4" ht="30" x14ac:dyDescent="0.25">
      <c r="A34">
        <v>33</v>
      </c>
      <c r="B34" t="s">
        <v>103</v>
      </c>
      <c r="C34" s="35" t="s">
        <v>104</v>
      </c>
      <c r="D34" s="22">
        <v>89.99</v>
      </c>
    </row>
    <row r="35" spans="1:4" ht="30" x14ac:dyDescent="0.25">
      <c r="A35">
        <v>34</v>
      </c>
      <c r="B35" t="s">
        <v>105</v>
      </c>
      <c r="C35" s="35" t="s">
        <v>106</v>
      </c>
      <c r="D35" s="22">
        <v>79.989999999999995</v>
      </c>
    </row>
    <row r="36" spans="1:4" ht="30" x14ac:dyDescent="0.25">
      <c r="A36">
        <v>35</v>
      </c>
      <c r="B36" t="s">
        <v>107</v>
      </c>
      <c r="C36" s="35" t="s">
        <v>108</v>
      </c>
      <c r="D36" s="22">
        <v>59.99</v>
      </c>
    </row>
    <row r="37" spans="1:4" ht="30" x14ac:dyDescent="0.25">
      <c r="A37">
        <v>36</v>
      </c>
      <c r="B37" t="s">
        <v>109</v>
      </c>
      <c r="C37" s="35" t="s">
        <v>110</v>
      </c>
      <c r="D37" s="22">
        <v>199.99</v>
      </c>
    </row>
    <row r="38" spans="1:4" ht="30" x14ac:dyDescent="0.25">
      <c r="A38">
        <v>37</v>
      </c>
      <c r="B38" t="s">
        <v>111</v>
      </c>
      <c r="C38" s="35" t="s">
        <v>112</v>
      </c>
      <c r="D38" s="22">
        <v>9.99</v>
      </c>
    </row>
    <row r="39" spans="1:4" ht="30" x14ac:dyDescent="0.25">
      <c r="A39">
        <v>38</v>
      </c>
      <c r="B39" t="s">
        <v>113</v>
      </c>
      <c r="C39" s="35" t="s">
        <v>114</v>
      </c>
      <c r="D39" s="22">
        <v>39.99</v>
      </c>
    </row>
    <row r="40" spans="1:4" ht="30" x14ac:dyDescent="0.25">
      <c r="A40">
        <v>39</v>
      </c>
      <c r="B40" t="s">
        <v>115</v>
      </c>
      <c r="C40" s="35" t="s">
        <v>116</v>
      </c>
      <c r="D40" s="22">
        <v>29.99</v>
      </c>
    </row>
    <row r="41" spans="1:4" ht="30" x14ac:dyDescent="0.25">
      <c r="A41">
        <v>40</v>
      </c>
      <c r="B41" t="s">
        <v>117</v>
      </c>
      <c r="C41" s="35" t="s">
        <v>118</v>
      </c>
      <c r="D41" s="22">
        <v>34.99</v>
      </c>
    </row>
    <row r="42" spans="1:4" ht="30" x14ac:dyDescent="0.25">
      <c r="A42">
        <v>41</v>
      </c>
      <c r="B42" t="s">
        <v>119</v>
      </c>
      <c r="C42" s="35" t="s">
        <v>120</v>
      </c>
      <c r="D42" s="22">
        <v>19.989999999999998</v>
      </c>
    </row>
    <row r="43" spans="1:4" ht="30" x14ac:dyDescent="0.25">
      <c r="A43">
        <v>42</v>
      </c>
      <c r="B43" t="s">
        <v>121</v>
      </c>
      <c r="C43" s="35" t="s">
        <v>122</v>
      </c>
      <c r="D43" s="22">
        <v>49.99</v>
      </c>
    </row>
    <row r="44" spans="1:4" ht="30" x14ac:dyDescent="0.25">
      <c r="A44">
        <v>43</v>
      </c>
      <c r="B44" t="s">
        <v>123</v>
      </c>
      <c r="C44" s="35" t="s">
        <v>124</v>
      </c>
      <c r="D44" s="22">
        <v>39.99</v>
      </c>
    </row>
    <row r="45" spans="1:4" ht="30" x14ac:dyDescent="0.25">
      <c r="A45">
        <v>44</v>
      </c>
      <c r="B45" t="s">
        <v>125</v>
      </c>
      <c r="C45" s="35" t="s">
        <v>126</v>
      </c>
      <c r="D45" s="22">
        <v>49.99</v>
      </c>
    </row>
    <row r="46" spans="1:4" ht="30" x14ac:dyDescent="0.25">
      <c r="A46">
        <v>45</v>
      </c>
      <c r="B46" t="s">
        <v>127</v>
      </c>
      <c r="C46" s="35" t="s">
        <v>128</v>
      </c>
      <c r="D46" s="22">
        <v>29.99</v>
      </c>
    </row>
    <row r="47" spans="1:4" ht="30" x14ac:dyDescent="0.25">
      <c r="A47">
        <v>46</v>
      </c>
      <c r="B47" t="s">
        <v>129</v>
      </c>
      <c r="C47" s="35" t="s">
        <v>130</v>
      </c>
      <c r="D47" s="22">
        <v>49.99</v>
      </c>
    </row>
    <row r="48" spans="1:4" ht="30" x14ac:dyDescent="0.25">
      <c r="A48">
        <v>47</v>
      </c>
      <c r="B48" t="s">
        <v>131</v>
      </c>
      <c r="C48" s="35" t="s">
        <v>132</v>
      </c>
      <c r="D48" s="22">
        <v>299.99</v>
      </c>
    </row>
    <row r="49" spans="1:4" ht="30" x14ac:dyDescent="0.25">
      <c r="A49">
        <v>48</v>
      </c>
      <c r="B49" t="s">
        <v>133</v>
      </c>
      <c r="C49" s="35" t="s">
        <v>134</v>
      </c>
      <c r="D49" s="22">
        <v>399.99</v>
      </c>
    </row>
    <row r="50" spans="1:4" ht="30" x14ac:dyDescent="0.25">
      <c r="A50">
        <v>49</v>
      </c>
      <c r="B50" t="s">
        <v>135</v>
      </c>
      <c r="C50" s="35" t="s">
        <v>136</v>
      </c>
      <c r="D50" s="22">
        <v>59.99</v>
      </c>
    </row>
    <row r="51" spans="1:4" ht="30" x14ac:dyDescent="0.25">
      <c r="A51">
        <v>50</v>
      </c>
      <c r="B51" t="s">
        <v>137</v>
      </c>
      <c r="C51" s="35" t="s">
        <v>138</v>
      </c>
      <c r="D51" s="22">
        <v>19.989999999999998</v>
      </c>
    </row>
    <row r="52" spans="1:4" ht="30" x14ac:dyDescent="0.25">
      <c r="A52">
        <v>51</v>
      </c>
      <c r="B52" t="s">
        <v>139</v>
      </c>
      <c r="C52" s="35" t="s">
        <v>140</v>
      </c>
      <c r="D52" s="22">
        <v>29.99</v>
      </c>
    </row>
    <row r="53" spans="1:4" ht="30" x14ac:dyDescent="0.25">
      <c r="A53">
        <v>52</v>
      </c>
      <c r="B53" t="s">
        <v>141</v>
      </c>
      <c r="C53" s="35" t="s">
        <v>142</v>
      </c>
      <c r="D53" s="22">
        <v>39.99</v>
      </c>
    </row>
    <row r="54" spans="1:4" ht="30" x14ac:dyDescent="0.25">
      <c r="A54">
        <v>53</v>
      </c>
      <c r="B54" t="s">
        <v>143</v>
      </c>
      <c r="C54" s="35" t="s">
        <v>144</v>
      </c>
      <c r="D54" s="22">
        <v>9.99</v>
      </c>
    </row>
    <row r="55" spans="1:4" ht="30" x14ac:dyDescent="0.25">
      <c r="A55">
        <v>54</v>
      </c>
      <c r="B55" t="s">
        <v>145</v>
      </c>
      <c r="C55" s="35" t="s">
        <v>146</v>
      </c>
      <c r="D55" s="22">
        <v>4.99</v>
      </c>
    </row>
    <row r="56" spans="1:4" ht="30" x14ac:dyDescent="0.25">
      <c r="A56">
        <v>55</v>
      </c>
      <c r="B56" t="s">
        <v>147</v>
      </c>
      <c r="C56" s="35" t="s">
        <v>148</v>
      </c>
      <c r="D56" s="22">
        <v>14.99</v>
      </c>
    </row>
    <row r="57" spans="1:4" ht="30" x14ac:dyDescent="0.25">
      <c r="A57">
        <v>56</v>
      </c>
      <c r="B57" t="s">
        <v>149</v>
      </c>
      <c r="C57" s="35" t="s">
        <v>150</v>
      </c>
      <c r="D57" s="22">
        <v>39.99</v>
      </c>
    </row>
    <row r="58" spans="1:4" ht="30" x14ac:dyDescent="0.25">
      <c r="A58">
        <v>57</v>
      </c>
      <c r="B58" t="s">
        <v>151</v>
      </c>
      <c r="C58" s="35" t="s">
        <v>152</v>
      </c>
      <c r="D58" s="22">
        <v>99.99</v>
      </c>
    </row>
    <row r="59" spans="1:4" ht="30" x14ac:dyDescent="0.25">
      <c r="A59">
        <v>58</v>
      </c>
      <c r="B59" t="s">
        <v>153</v>
      </c>
      <c r="C59" s="35" t="s">
        <v>154</v>
      </c>
      <c r="D59" s="22">
        <v>29.99</v>
      </c>
    </row>
    <row r="60" spans="1:4" ht="30" x14ac:dyDescent="0.25">
      <c r="A60">
        <v>59</v>
      </c>
      <c r="B60" t="s">
        <v>155</v>
      </c>
      <c r="C60" s="35" t="s">
        <v>156</v>
      </c>
      <c r="D60" s="22">
        <v>19.989999999999998</v>
      </c>
    </row>
    <row r="61" spans="1:4" ht="30" x14ac:dyDescent="0.25">
      <c r="A61">
        <v>60</v>
      </c>
      <c r="B61" t="s">
        <v>157</v>
      </c>
      <c r="C61" s="35" t="s">
        <v>158</v>
      </c>
      <c r="D61" s="22">
        <v>14.99</v>
      </c>
    </row>
    <row r="62" spans="1:4" ht="30" x14ac:dyDescent="0.25">
      <c r="A62">
        <v>61</v>
      </c>
      <c r="B62" t="s">
        <v>159</v>
      </c>
      <c r="C62" s="35" t="s">
        <v>160</v>
      </c>
      <c r="D62" s="22">
        <v>24.99</v>
      </c>
    </row>
    <row r="63" spans="1:4" ht="30" x14ac:dyDescent="0.25">
      <c r="A63">
        <v>62</v>
      </c>
      <c r="B63" t="s">
        <v>161</v>
      </c>
      <c r="C63" s="35" t="s">
        <v>162</v>
      </c>
      <c r="D63" s="22">
        <v>34.99</v>
      </c>
    </row>
    <row r="64" spans="1:4" ht="30" x14ac:dyDescent="0.25">
      <c r="A64">
        <v>63</v>
      </c>
      <c r="B64" t="s">
        <v>163</v>
      </c>
      <c r="C64" s="35" t="s">
        <v>164</v>
      </c>
      <c r="D64" s="22">
        <v>39.99</v>
      </c>
    </row>
    <row r="65" spans="1:4" ht="30" x14ac:dyDescent="0.25">
      <c r="A65">
        <v>64</v>
      </c>
      <c r="B65" t="s">
        <v>165</v>
      </c>
      <c r="C65" s="35" t="s">
        <v>166</v>
      </c>
      <c r="D65" s="22">
        <v>49.99</v>
      </c>
    </row>
    <row r="66" spans="1:4" ht="30" x14ac:dyDescent="0.25">
      <c r="A66">
        <v>65</v>
      </c>
      <c r="B66" t="s">
        <v>167</v>
      </c>
      <c r="C66" s="35" t="s">
        <v>168</v>
      </c>
      <c r="D66" s="22">
        <v>9.99</v>
      </c>
    </row>
    <row r="67" spans="1:4" ht="30" x14ac:dyDescent="0.25">
      <c r="A67">
        <v>66</v>
      </c>
      <c r="B67" t="s">
        <v>169</v>
      </c>
      <c r="C67" s="35" t="s">
        <v>170</v>
      </c>
      <c r="D67" s="22">
        <v>14.99</v>
      </c>
    </row>
    <row r="68" spans="1:4" ht="30" x14ac:dyDescent="0.25">
      <c r="A68">
        <v>67</v>
      </c>
      <c r="B68" t="s">
        <v>171</v>
      </c>
      <c r="C68" s="35" t="s">
        <v>172</v>
      </c>
      <c r="D68" s="22">
        <v>49.99</v>
      </c>
    </row>
    <row r="69" spans="1:4" ht="30" x14ac:dyDescent="0.25">
      <c r="A69">
        <v>68</v>
      </c>
      <c r="B69" t="s">
        <v>173</v>
      </c>
      <c r="C69" s="35" t="s">
        <v>174</v>
      </c>
      <c r="D69" s="22">
        <v>19.989999999999998</v>
      </c>
    </row>
    <row r="70" spans="1:4" ht="30" x14ac:dyDescent="0.25">
      <c r="A70">
        <v>69</v>
      </c>
      <c r="B70" t="s">
        <v>175</v>
      </c>
      <c r="C70" s="35" t="s">
        <v>176</v>
      </c>
      <c r="D70" s="22">
        <v>24.99</v>
      </c>
    </row>
    <row r="71" spans="1:4" ht="30" x14ac:dyDescent="0.25">
      <c r="A71">
        <v>70</v>
      </c>
      <c r="B71" t="s">
        <v>177</v>
      </c>
      <c r="C71" s="35" t="s">
        <v>178</v>
      </c>
      <c r="D71" s="22">
        <v>29.99</v>
      </c>
    </row>
    <row r="72" spans="1:4" ht="30" x14ac:dyDescent="0.25">
      <c r="A72">
        <v>71</v>
      </c>
      <c r="B72" t="s">
        <v>179</v>
      </c>
      <c r="C72" s="35" t="s">
        <v>180</v>
      </c>
      <c r="D72" s="22">
        <v>9.99</v>
      </c>
    </row>
    <row r="73" spans="1:4" ht="30" x14ac:dyDescent="0.25">
      <c r="A73">
        <v>72</v>
      </c>
      <c r="B73" t="s">
        <v>181</v>
      </c>
      <c r="C73" s="35" t="s">
        <v>182</v>
      </c>
      <c r="D73" s="22">
        <v>4.99</v>
      </c>
    </row>
    <row r="74" spans="1:4" ht="30" x14ac:dyDescent="0.25">
      <c r="A74">
        <v>73</v>
      </c>
      <c r="B74" t="s">
        <v>183</v>
      </c>
      <c r="C74" s="35" t="s">
        <v>184</v>
      </c>
      <c r="D74" s="22">
        <v>4.99</v>
      </c>
    </row>
    <row r="75" spans="1:4" ht="30" x14ac:dyDescent="0.25">
      <c r="A75">
        <v>74</v>
      </c>
      <c r="B75" t="s">
        <v>185</v>
      </c>
      <c r="C75" s="35" t="s">
        <v>186</v>
      </c>
      <c r="D75" s="22">
        <v>9.99</v>
      </c>
    </row>
    <row r="76" spans="1:4" ht="30" x14ac:dyDescent="0.25">
      <c r="A76">
        <v>75</v>
      </c>
      <c r="B76" t="s">
        <v>187</v>
      </c>
      <c r="C76" s="35" t="s">
        <v>188</v>
      </c>
      <c r="D76" s="22">
        <v>7.99</v>
      </c>
    </row>
    <row r="77" spans="1:4" ht="30" x14ac:dyDescent="0.25">
      <c r="A77">
        <v>76</v>
      </c>
      <c r="B77" t="s">
        <v>189</v>
      </c>
      <c r="C77" s="35" t="s">
        <v>190</v>
      </c>
      <c r="D77" s="22">
        <v>14.99</v>
      </c>
    </row>
    <row r="78" spans="1:4" ht="30" x14ac:dyDescent="0.25">
      <c r="A78">
        <v>77</v>
      </c>
      <c r="B78" t="s">
        <v>191</v>
      </c>
      <c r="C78" s="35" t="s">
        <v>192</v>
      </c>
      <c r="D78" s="22">
        <v>9.99</v>
      </c>
    </row>
    <row r="79" spans="1:4" ht="30" x14ac:dyDescent="0.25">
      <c r="A79">
        <v>78</v>
      </c>
      <c r="B79" t="s">
        <v>193</v>
      </c>
      <c r="C79" s="35" t="s">
        <v>194</v>
      </c>
      <c r="D79" s="22">
        <v>7.99</v>
      </c>
    </row>
    <row r="80" spans="1:4" ht="30" x14ac:dyDescent="0.25">
      <c r="A80">
        <v>79</v>
      </c>
      <c r="B80" t="s">
        <v>195</v>
      </c>
      <c r="C80" s="35" t="s">
        <v>196</v>
      </c>
      <c r="D80" s="22">
        <v>9.99</v>
      </c>
    </row>
    <row r="81" spans="1:4" ht="30" x14ac:dyDescent="0.25">
      <c r="A81">
        <v>80</v>
      </c>
      <c r="B81" t="s">
        <v>197</v>
      </c>
      <c r="C81" s="35" t="s">
        <v>198</v>
      </c>
      <c r="D81" s="22">
        <v>14.99</v>
      </c>
    </row>
    <row r="82" spans="1:4" ht="30" x14ac:dyDescent="0.25">
      <c r="A82">
        <v>81</v>
      </c>
      <c r="B82" t="s">
        <v>199</v>
      </c>
      <c r="C82" s="35" t="s">
        <v>200</v>
      </c>
      <c r="D82" s="22">
        <v>19.989999999999998</v>
      </c>
    </row>
    <row r="83" spans="1:4" ht="30" x14ac:dyDescent="0.25">
      <c r="A83">
        <v>82</v>
      </c>
      <c r="B83" t="s">
        <v>79</v>
      </c>
      <c r="C83" s="35" t="s">
        <v>80</v>
      </c>
      <c r="D83" s="22">
        <v>17.989999999999998</v>
      </c>
    </row>
    <row r="84" spans="1:4" ht="30" x14ac:dyDescent="0.25">
      <c r="A84">
        <v>83</v>
      </c>
      <c r="B84" t="s">
        <v>201</v>
      </c>
      <c r="C84" s="35" t="s">
        <v>202</v>
      </c>
      <c r="D84" s="22">
        <v>19.989999999999998</v>
      </c>
    </row>
    <row r="85" spans="1:4" ht="30" x14ac:dyDescent="0.25">
      <c r="A85">
        <v>84</v>
      </c>
      <c r="B85" t="s">
        <v>203</v>
      </c>
      <c r="C85" s="35" t="s">
        <v>204</v>
      </c>
      <c r="D85" s="22">
        <v>14.99</v>
      </c>
    </row>
    <row r="86" spans="1:4" ht="30" x14ac:dyDescent="0.25">
      <c r="A86">
        <v>85</v>
      </c>
      <c r="B86" t="s">
        <v>205</v>
      </c>
      <c r="C86" s="35" t="s">
        <v>206</v>
      </c>
      <c r="D86" s="22">
        <v>7.99</v>
      </c>
    </row>
    <row r="87" spans="1:4" ht="30" x14ac:dyDescent="0.25">
      <c r="A87">
        <v>86</v>
      </c>
      <c r="B87" t="s">
        <v>207</v>
      </c>
      <c r="C87" s="35" t="s">
        <v>208</v>
      </c>
      <c r="D87" s="22">
        <v>9.99</v>
      </c>
    </row>
    <row r="88" spans="1:4" ht="30" x14ac:dyDescent="0.25">
      <c r="A88">
        <v>87</v>
      </c>
      <c r="B88" t="s">
        <v>209</v>
      </c>
      <c r="C88" s="35" t="s">
        <v>210</v>
      </c>
      <c r="D88" s="22">
        <v>5.99</v>
      </c>
    </row>
    <row r="89" spans="1:4" ht="30" x14ac:dyDescent="0.25">
      <c r="A89">
        <v>88</v>
      </c>
      <c r="B89" t="s">
        <v>211</v>
      </c>
      <c r="C89" s="35" t="s">
        <v>212</v>
      </c>
      <c r="D89" s="22">
        <v>7.99</v>
      </c>
    </row>
    <row r="90" spans="1:4" ht="30" x14ac:dyDescent="0.25">
      <c r="A90">
        <v>89</v>
      </c>
      <c r="B90" t="s">
        <v>213</v>
      </c>
      <c r="C90" s="35" t="s">
        <v>214</v>
      </c>
      <c r="D90" s="22">
        <v>9.99</v>
      </c>
    </row>
    <row r="91" spans="1:4" ht="30" x14ac:dyDescent="0.25">
      <c r="A91">
        <v>90</v>
      </c>
      <c r="B91" t="s">
        <v>215</v>
      </c>
      <c r="C91" s="35" t="s">
        <v>216</v>
      </c>
      <c r="D91" s="22">
        <v>6.99</v>
      </c>
    </row>
    <row r="92" spans="1:4" ht="30" x14ac:dyDescent="0.25">
      <c r="A92">
        <v>91</v>
      </c>
      <c r="B92" t="s">
        <v>217</v>
      </c>
      <c r="C92" s="35" t="s">
        <v>218</v>
      </c>
      <c r="D92" s="22">
        <v>12.99</v>
      </c>
    </row>
    <row r="93" spans="1:4" ht="30" x14ac:dyDescent="0.25">
      <c r="A93">
        <v>92</v>
      </c>
      <c r="B93" t="s">
        <v>219</v>
      </c>
      <c r="C93" s="35" t="s">
        <v>220</v>
      </c>
      <c r="D93" s="22">
        <v>8.99</v>
      </c>
    </row>
    <row r="94" spans="1:4" ht="30" x14ac:dyDescent="0.25">
      <c r="A94">
        <v>93</v>
      </c>
      <c r="B94" t="s">
        <v>221</v>
      </c>
      <c r="C94" s="35" t="s">
        <v>222</v>
      </c>
      <c r="D94" s="22">
        <v>29.99</v>
      </c>
    </row>
    <row r="95" spans="1:4" ht="30" x14ac:dyDescent="0.25">
      <c r="A95">
        <v>94</v>
      </c>
      <c r="B95" t="s">
        <v>223</v>
      </c>
      <c r="C95" s="35" t="s">
        <v>224</v>
      </c>
      <c r="D95" s="22">
        <v>39.99</v>
      </c>
    </row>
    <row r="96" spans="1:4" ht="30" x14ac:dyDescent="0.25">
      <c r="A96">
        <v>95</v>
      </c>
      <c r="B96" t="s">
        <v>225</v>
      </c>
      <c r="C96" s="35" t="s">
        <v>226</v>
      </c>
      <c r="D96" s="22">
        <v>34.99</v>
      </c>
    </row>
    <row r="97" spans="1:4" ht="30" x14ac:dyDescent="0.25">
      <c r="A97">
        <v>96</v>
      </c>
      <c r="B97" t="s">
        <v>227</v>
      </c>
      <c r="C97" s="35" t="s">
        <v>228</v>
      </c>
      <c r="D97" s="22">
        <v>49.99</v>
      </c>
    </row>
    <row r="98" spans="1:4" ht="30" x14ac:dyDescent="0.25">
      <c r="A98">
        <v>97</v>
      </c>
      <c r="B98" t="s">
        <v>229</v>
      </c>
      <c r="C98" s="35" t="s">
        <v>230</v>
      </c>
      <c r="D98" s="22">
        <v>59.99</v>
      </c>
    </row>
    <row r="99" spans="1:4" ht="30" x14ac:dyDescent="0.25">
      <c r="A99">
        <v>98</v>
      </c>
      <c r="B99" t="s">
        <v>231</v>
      </c>
      <c r="C99" s="35" t="s">
        <v>232</v>
      </c>
      <c r="D99" s="22">
        <v>29.99</v>
      </c>
    </row>
    <row r="100" spans="1:4" ht="30" x14ac:dyDescent="0.25">
      <c r="A100">
        <v>99</v>
      </c>
      <c r="B100" t="s">
        <v>233</v>
      </c>
      <c r="C100" s="35" t="s">
        <v>234</v>
      </c>
      <c r="D100" s="22">
        <v>49.99</v>
      </c>
    </row>
    <row r="101" spans="1:4" ht="30" x14ac:dyDescent="0.25">
      <c r="A101">
        <v>100</v>
      </c>
      <c r="B101" t="s">
        <v>235</v>
      </c>
      <c r="C101" s="35" t="s">
        <v>236</v>
      </c>
      <c r="D101" s="22">
        <v>19.989999999999998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BA91-4929-479C-8006-C1CBDFE2AE22}">
  <sheetPr codeName="Sheet7"/>
  <dimension ref="A1:H4"/>
  <sheetViews>
    <sheetView tabSelected="1" workbookViewId="0">
      <selection activeCell="K10" sqref="K10"/>
    </sheetView>
  </sheetViews>
  <sheetFormatPr defaultRowHeight="15" x14ac:dyDescent="0.25"/>
  <cols>
    <col min="1" max="1" width="12.5703125" customWidth="1"/>
    <col min="2" max="2" width="18" customWidth="1"/>
    <col min="3" max="3" width="10.42578125" style="22" bestFit="1" customWidth="1"/>
    <col min="4" max="4" width="13.42578125" style="39" customWidth="1"/>
    <col min="5" max="5" width="11.28515625" style="39" customWidth="1"/>
    <col min="6" max="6" width="10.85546875" customWidth="1"/>
    <col min="7" max="7" width="28.42578125" customWidth="1"/>
    <col min="8" max="8" width="12.85546875" customWidth="1"/>
  </cols>
  <sheetData>
    <row r="1" spans="1:8" x14ac:dyDescent="0.25">
      <c r="A1" t="s">
        <v>392</v>
      </c>
      <c r="B1" t="s">
        <v>381</v>
      </c>
      <c r="C1" t="s">
        <v>391</v>
      </c>
      <c r="D1" t="s">
        <v>382</v>
      </c>
      <c r="E1" t="s">
        <v>383</v>
      </c>
      <c r="F1" t="s">
        <v>384</v>
      </c>
      <c r="G1" t="s">
        <v>393</v>
      </c>
      <c r="H1" t="s">
        <v>394</v>
      </c>
    </row>
    <row r="2" spans="1:8" x14ac:dyDescent="0.25">
      <c r="A2">
        <v>1</v>
      </c>
      <c r="B2" t="s">
        <v>317</v>
      </c>
      <c r="C2" s="22">
        <v>1043.83</v>
      </c>
      <c r="D2" s="39">
        <v>45439</v>
      </c>
      <c r="E2" s="39">
        <v>45469</v>
      </c>
      <c r="F2" t="s">
        <v>399</v>
      </c>
      <c r="G2" s="40"/>
      <c r="H2" s="40"/>
    </row>
    <row r="3" spans="1:8" x14ac:dyDescent="0.25">
      <c r="A3">
        <v>2</v>
      </c>
      <c r="B3" t="s">
        <v>0</v>
      </c>
      <c r="C3" s="22">
        <v>5.99</v>
      </c>
      <c r="D3" s="39">
        <v>45349</v>
      </c>
      <c r="E3" s="39">
        <v>45377</v>
      </c>
      <c r="G3" s="40"/>
      <c r="H3" s="40"/>
    </row>
    <row r="4" spans="1:8" x14ac:dyDescent="0.25">
      <c r="A4">
        <v>3</v>
      </c>
      <c r="B4" t="s">
        <v>248</v>
      </c>
      <c r="C4" s="22">
        <v>11.99</v>
      </c>
      <c r="D4" s="39">
        <v>45439</v>
      </c>
      <c r="E4" s="39">
        <v>45469</v>
      </c>
      <c r="G4" s="40" t="s">
        <v>400</v>
      </c>
      <c r="H4" s="40" t="s">
        <v>401</v>
      </c>
    </row>
  </sheetData>
  <conditionalFormatting sqref="A2:H1048576">
    <cfRule type="expression" dxfId="0" priority="1">
      <formula>AND($A2&lt;&gt;"",$E2&lt;TODAY(),$F2&lt;&gt;"Processed")</formula>
    </cfRule>
  </conditionalFormatting>
  <dataValidations count="1">
    <dataValidation type="list" allowBlank="1" showInputMessage="1" showErrorMessage="1" sqref="F2:F1048576" xr:uid="{38E35587-8C74-4DAD-929A-40772A34C5C8}">
      <formula1>"Processed"</formula1>
    </dataValidation>
  </dataValidations>
  <hyperlinks>
    <hyperlink ref="G4" r:id="rId1" display="../../Invoices/3-ABC Industries.xlsx" xr:uid="{EAEF516D-2C69-4D1B-BE0E-044E3FCAA940}"/>
    <hyperlink ref="H4" r:id="rId2" display="../../Invoices/3-ABC Industries.pdf" xr:uid="{202E9A4C-1014-45E4-8401-5DA1255530E7}"/>
  </hyperlinks>
  <pageMargins left="0.7" right="0.7" top="0.75" bottom="0.75" header="0.3" footer="0.3"/>
  <pageSetup orientation="portrait"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Order</vt:lpstr>
      <vt:lpstr>Purchase Order Entry Window</vt:lpstr>
      <vt:lpstr>Invoice from PO Entry</vt:lpstr>
      <vt:lpstr>Invoice Template</vt:lpstr>
      <vt:lpstr>Customer Database</vt:lpstr>
      <vt:lpstr>Catalog</vt:lpstr>
      <vt:lpstr>Invoice Records</vt:lpstr>
      <vt:lpstr>'Invoice from PO Entry'!Print_Area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Robison</dc:creator>
  <cp:lastModifiedBy>Patrick Robison</cp:lastModifiedBy>
  <cp:lastPrinted>2024-05-28T05:27:20Z</cp:lastPrinted>
  <dcterms:created xsi:type="dcterms:W3CDTF">2024-05-22T18:22:38Z</dcterms:created>
  <dcterms:modified xsi:type="dcterms:W3CDTF">2024-05-28T05:51:08Z</dcterms:modified>
</cp:coreProperties>
</file>